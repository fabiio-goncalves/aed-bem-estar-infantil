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5"/>
  <workbookPr refreshAllConnections="1" defaultThemeVersion="124226"/>
  <mc:AlternateContent xmlns:mc="http://schemas.openxmlformats.org/markup-compatibility/2006">
    <mc:Choice Requires="x15">
      <x15ac:absPath xmlns:x15ac="http://schemas.microsoft.com/office/spreadsheetml/2010/11/ac" url="/Users/joaolourenco/Desktop/"/>
    </mc:Choice>
  </mc:AlternateContent>
  <xr:revisionPtr revIDLastSave="0" documentId="13_ncr:1_{CDADC893-1891-AB48-8718-D5EA20D55AFC}" xr6:coauthVersionLast="47" xr6:coauthVersionMax="47" xr10:uidLastSave="{00000000-0000-0000-0000-000000000000}"/>
  <bookViews>
    <workbookView minimized="1" xWindow="0" yWindow="760" windowWidth="29400" windowHeight="17020" activeTab="2" xr2:uid="{00000000-000D-0000-FFFF-FFFF00000000}"/>
  </bookViews>
  <sheets>
    <sheet name="Dados" sheetId="1" r:id="rId1"/>
    <sheet name="Variáveis e códigos" sheetId="2" r:id="rId2"/>
    <sheet name="tabela cruzamento dinamica" sheetId="8" r:id="rId3"/>
    <sheet name="tabela dinamica" sheetId="11" r:id="rId4"/>
    <sheet name="tabela freq abs" sheetId="3" r:id="rId5"/>
  </sheets>
  <definedNames>
    <definedName name="_xlnm._FilterDatabase" localSheetId="0" hidden="1">Dados!$A$1:$N$834</definedName>
  </definedNames>
  <calcPr calcId="191029"/>
  <pivotCaches>
    <pivotCache cacheId="4" r:id="rId6"/>
    <pivotCache cacheId="5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4" i="3" l="1"/>
  <c r="I13" i="3"/>
  <c r="I12" i="3"/>
  <c r="I15" i="3" l="1"/>
  <c r="D7" i="1"/>
  <c r="D3" i="1"/>
  <c r="D4" i="1"/>
  <c r="D5" i="1"/>
  <c r="D6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D263" i="1"/>
  <c r="D264" i="1"/>
  <c r="D265" i="1"/>
  <c r="D266" i="1"/>
  <c r="D267" i="1"/>
  <c r="D268" i="1"/>
  <c r="D269" i="1"/>
  <c r="D270" i="1"/>
  <c r="D271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D353" i="1"/>
  <c r="D354" i="1"/>
  <c r="D355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D421" i="1"/>
  <c r="D422" i="1"/>
  <c r="D423" i="1"/>
  <c r="D424" i="1"/>
  <c r="D425" i="1"/>
  <c r="D426" i="1"/>
  <c r="D427" i="1"/>
  <c r="D428" i="1"/>
  <c r="D429" i="1"/>
  <c r="D430" i="1"/>
  <c r="D431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D465" i="1"/>
  <c r="D466" i="1"/>
  <c r="D467" i="1"/>
  <c r="D468" i="1"/>
  <c r="D469" i="1"/>
  <c r="D470" i="1"/>
  <c r="D471" i="1"/>
  <c r="D472" i="1"/>
  <c r="D473" i="1"/>
  <c r="D474" i="1"/>
  <c r="D475" i="1"/>
  <c r="D476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D568" i="1"/>
  <c r="D569" i="1"/>
  <c r="D570" i="1"/>
  <c r="D571" i="1"/>
  <c r="D572" i="1"/>
  <c r="D573" i="1"/>
  <c r="D574" i="1"/>
  <c r="D575" i="1"/>
  <c r="D576" i="1"/>
  <c r="D577" i="1"/>
  <c r="D578" i="1"/>
  <c r="D579" i="1"/>
  <c r="D580" i="1"/>
  <c r="D581" i="1"/>
  <c r="D582" i="1"/>
  <c r="D583" i="1"/>
  <c r="D584" i="1"/>
  <c r="D585" i="1"/>
  <c r="D586" i="1"/>
  <c r="D587" i="1"/>
  <c r="D588" i="1"/>
  <c r="D589" i="1"/>
  <c r="D590" i="1"/>
  <c r="D591" i="1"/>
  <c r="D592" i="1"/>
  <c r="D593" i="1"/>
  <c r="D594" i="1"/>
  <c r="D595" i="1"/>
  <c r="D596" i="1"/>
  <c r="D597" i="1"/>
  <c r="D598" i="1"/>
  <c r="D599" i="1"/>
  <c r="D600" i="1"/>
  <c r="D601" i="1"/>
  <c r="D602" i="1"/>
  <c r="D603" i="1"/>
  <c r="D604" i="1"/>
  <c r="D605" i="1"/>
  <c r="D606" i="1"/>
  <c r="D607" i="1"/>
  <c r="D608" i="1"/>
  <c r="D609" i="1"/>
  <c r="D610" i="1"/>
  <c r="D611" i="1"/>
  <c r="D612" i="1"/>
  <c r="D613" i="1"/>
  <c r="D614" i="1"/>
  <c r="D615" i="1"/>
  <c r="D616" i="1"/>
  <c r="D617" i="1"/>
  <c r="D618" i="1"/>
  <c r="D619" i="1"/>
  <c r="D620" i="1"/>
  <c r="D621" i="1"/>
  <c r="D622" i="1"/>
  <c r="D623" i="1"/>
  <c r="D624" i="1"/>
  <c r="D625" i="1"/>
  <c r="D626" i="1"/>
  <c r="D627" i="1"/>
  <c r="D628" i="1"/>
  <c r="D629" i="1"/>
  <c r="D630" i="1"/>
  <c r="D631" i="1"/>
  <c r="D632" i="1"/>
  <c r="D633" i="1"/>
  <c r="D634" i="1"/>
  <c r="D635" i="1"/>
  <c r="D636" i="1"/>
  <c r="D637" i="1"/>
  <c r="D638" i="1"/>
  <c r="D639" i="1"/>
  <c r="D640" i="1"/>
  <c r="D641" i="1"/>
  <c r="D642" i="1"/>
  <c r="D643" i="1"/>
  <c r="D644" i="1"/>
  <c r="D645" i="1"/>
  <c r="D646" i="1"/>
  <c r="D647" i="1"/>
  <c r="D648" i="1"/>
  <c r="D649" i="1"/>
  <c r="D650" i="1"/>
  <c r="D651" i="1"/>
  <c r="D652" i="1"/>
  <c r="D653" i="1"/>
  <c r="D654" i="1"/>
  <c r="D655" i="1"/>
  <c r="D656" i="1"/>
  <c r="D657" i="1"/>
  <c r="D658" i="1"/>
  <c r="D659" i="1"/>
  <c r="D660" i="1"/>
  <c r="D661" i="1"/>
  <c r="D662" i="1"/>
  <c r="D663" i="1"/>
  <c r="D664" i="1"/>
  <c r="D665" i="1"/>
  <c r="D666" i="1"/>
  <c r="D667" i="1"/>
  <c r="D668" i="1"/>
  <c r="D669" i="1"/>
  <c r="D670" i="1"/>
  <c r="D671" i="1"/>
  <c r="D672" i="1"/>
  <c r="D673" i="1"/>
  <c r="D674" i="1"/>
  <c r="D675" i="1"/>
  <c r="D676" i="1"/>
  <c r="D677" i="1"/>
  <c r="D678" i="1"/>
  <c r="D679" i="1"/>
  <c r="D680" i="1"/>
  <c r="D681" i="1"/>
  <c r="D682" i="1"/>
  <c r="D683" i="1"/>
  <c r="D684" i="1"/>
  <c r="D685" i="1"/>
  <c r="D686" i="1"/>
  <c r="D687" i="1"/>
  <c r="D688" i="1"/>
  <c r="D689" i="1"/>
  <c r="D690" i="1"/>
  <c r="D691" i="1"/>
  <c r="D692" i="1"/>
  <c r="D693" i="1"/>
  <c r="D694" i="1"/>
  <c r="D695" i="1"/>
  <c r="D696" i="1"/>
  <c r="D697" i="1"/>
  <c r="D698" i="1"/>
  <c r="D699" i="1"/>
  <c r="D700" i="1"/>
  <c r="D701" i="1"/>
  <c r="D702" i="1"/>
  <c r="D703" i="1"/>
  <c r="D704" i="1"/>
  <c r="D705" i="1"/>
  <c r="D706" i="1"/>
  <c r="D707" i="1"/>
  <c r="D708" i="1"/>
  <c r="D709" i="1"/>
  <c r="D710" i="1"/>
  <c r="D711" i="1"/>
  <c r="D712" i="1"/>
  <c r="D713" i="1"/>
  <c r="D714" i="1"/>
  <c r="D715" i="1"/>
  <c r="D716" i="1"/>
  <c r="D717" i="1"/>
  <c r="D718" i="1"/>
  <c r="D719" i="1"/>
  <c r="D720" i="1"/>
  <c r="D721" i="1"/>
  <c r="D722" i="1"/>
  <c r="D723" i="1"/>
  <c r="D724" i="1"/>
  <c r="D725" i="1"/>
  <c r="D726" i="1"/>
  <c r="D727" i="1"/>
  <c r="D728" i="1"/>
  <c r="D729" i="1"/>
  <c r="D730" i="1"/>
  <c r="D731" i="1"/>
  <c r="D732" i="1"/>
  <c r="D733" i="1"/>
  <c r="D734" i="1"/>
  <c r="D735" i="1"/>
  <c r="D736" i="1"/>
  <c r="D737" i="1"/>
  <c r="D738" i="1"/>
  <c r="D739" i="1"/>
  <c r="D740" i="1"/>
  <c r="D741" i="1"/>
  <c r="D742" i="1"/>
  <c r="D743" i="1"/>
  <c r="D744" i="1"/>
  <c r="D745" i="1"/>
  <c r="D746" i="1"/>
  <c r="D747" i="1"/>
  <c r="D748" i="1"/>
  <c r="D749" i="1"/>
  <c r="D750" i="1"/>
  <c r="D751" i="1"/>
  <c r="D752" i="1"/>
  <c r="D753" i="1"/>
  <c r="D754" i="1"/>
  <c r="D755" i="1"/>
  <c r="D756" i="1"/>
  <c r="D757" i="1"/>
  <c r="D758" i="1"/>
  <c r="D759" i="1"/>
  <c r="D760" i="1"/>
  <c r="D761" i="1"/>
  <c r="D762" i="1"/>
  <c r="D763" i="1"/>
  <c r="D764" i="1"/>
  <c r="D765" i="1"/>
  <c r="D766" i="1"/>
  <c r="D767" i="1"/>
  <c r="D768" i="1"/>
  <c r="D769" i="1"/>
  <c r="D770" i="1"/>
  <c r="D771" i="1"/>
  <c r="D772" i="1"/>
  <c r="D773" i="1"/>
  <c r="D774" i="1"/>
  <c r="D775" i="1"/>
  <c r="D776" i="1"/>
  <c r="D777" i="1"/>
  <c r="D778" i="1"/>
  <c r="D779" i="1"/>
  <c r="D780" i="1"/>
  <c r="D781" i="1"/>
  <c r="D782" i="1"/>
  <c r="D783" i="1"/>
  <c r="D784" i="1"/>
  <c r="D785" i="1"/>
  <c r="D786" i="1"/>
  <c r="D787" i="1"/>
  <c r="D788" i="1"/>
  <c r="D789" i="1"/>
  <c r="D790" i="1"/>
  <c r="D791" i="1"/>
  <c r="D792" i="1"/>
  <c r="D793" i="1"/>
  <c r="D794" i="1"/>
  <c r="D795" i="1"/>
  <c r="D796" i="1"/>
  <c r="D797" i="1"/>
  <c r="D798" i="1"/>
  <c r="D799" i="1"/>
  <c r="D800" i="1"/>
  <c r="D801" i="1"/>
  <c r="D802" i="1"/>
  <c r="D803" i="1"/>
  <c r="D804" i="1"/>
  <c r="D805" i="1"/>
  <c r="D806" i="1"/>
  <c r="D807" i="1"/>
  <c r="D808" i="1"/>
  <c r="D809" i="1"/>
  <c r="D810" i="1"/>
  <c r="D811" i="1"/>
  <c r="D812" i="1"/>
  <c r="D813" i="1"/>
  <c r="D814" i="1"/>
  <c r="D815" i="1"/>
  <c r="D816" i="1"/>
  <c r="D817" i="1"/>
  <c r="D818" i="1"/>
  <c r="D819" i="1"/>
  <c r="D820" i="1"/>
  <c r="D821" i="1"/>
  <c r="D822" i="1"/>
  <c r="D823" i="1"/>
  <c r="D824" i="1"/>
  <c r="D825" i="1"/>
  <c r="D826" i="1"/>
  <c r="D827" i="1"/>
  <c r="D828" i="1"/>
  <c r="D829" i="1"/>
  <c r="D830" i="1"/>
  <c r="D831" i="1"/>
  <c r="D832" i="1"/>
  <c r="D833" i="1"/>
  <c r="D834" i="1"/>
  <c r="D2" i="1"/>
  <c r="J12" i="3" l="1"/>
  <c r="J14" i="3"/>
  <c r="J13" i="3"/>
  <c r="J15" i="3" l="1"/>
</calcChain>
</file>

<file path=xl/sharedStrings.xml><?xml version="1.0" encoding="utf-8"?>
<sst xmlns="http://schemas.openxmlformats.org/spreadsheetml/2006/main" count="83" uniqueCount="60">
  <si>
    <t>ID</t>
  </si>
  <si>
    <t>nutII</t>
  </si>
  <si>
    <t>genero</t>
  </si>
  <si>
    <t>P3</t>
  </si>
  <si>
    <t>cicloescolar</t>
  </si>
  <si>
    <t>P6</t>
  </si>
  <si>
    <t>v22</t>
  </si>
  <si>
    <t>v25</t>
  </si>
  <si>
    <t>Pg</t>
  </si>
  <si>
    <t>Pl</t>
  </si>
  <si>
    <t>Pm</t>
  </si>
  <si>
    <t>Px</t>
  </si>
  <si>
    <t>Sono_Q556</t>
  </si>
  <si>
    <t>Nome</t>
  </si>
  <si>
    <t>Etiqueta</t>
  </si>
  <si>
    <t>Códigos</t>
  </si>
  <si>
    <t>Número de identificação</t>
  </si>
  <si>
    <t>NUTII</t>
  </si>
  <si>
    <t>Norte</t>
  </si>
  <si>
    <t>Género</t>
  </si>
  <si>
    <t>Masculino</t>
  </si>
  <si>
    <t>Feminino</t>
  </si>
  <si>
    <t>Outro</t>
  </si>
  <si>
    <t>Prefiro não responder</t>
  </si>
  <si>
    <t>Idade (a 1 de Setembro de 2021)</t>
  </si>
  <si>
    <t>ciclo de escolaridade</t>
  </si>
  <si>
    <t>Ensino secundário</t>
  </si>
  <si>
    <t>Pré-escolar</t>
  </si>
  <si>
    <t>1º Ciclo</t>
  </si>
  <si>
    <t>Em geral quantas horas dormes em cada noite?</t>
  </si>
  <si>
    <t>Nível de Escolaridade completo da mãe ou pessoa cuidadora</t>
  </si>
  <si>
    <t>É irrequieto, muito mexido, nunca para quieto.</t>
  </si>
  <si>
    <t>Enerva-se muito facilmente e faz muitas birras.</t>
  </si>
  <si>
    <t>Obedece com facilidade, faz habitualmente o que os adultos lhe mandam.</t>
  </si>
  <si>
    <t>Luta frequentemente com as outras crianças, ameaça-as ou intimida-as.</t>
  </si>
  <si>
    <t>Anda muitas vezes triste, desanimado ou choroso.</t>
  </si>
  <si>
    <t>Tem muitos medos, assusta-se com facilidade.</t>
  </si>
  <si>
    <t>Ensino básico ou inferior</t>
  </si>
  <si>
    <t>Ensino superior</t>
  </si>
  <si>
    <t>Não é verdade</t>
  </si>
  <si>
    <t>É pouco verdade</t>
  </si>
  <si>
    <t>É muito verdade</t>
  </si>
  <si>
    <t>genero_texto</t>
  </si>
  <si>
    <t xml:space="preserve"> </t>
  </si>
  <si>
    <t>Escolaridade</t>
  </si>
  <si>
    <t>Ensino básico ou inferior(1)</t>
  </si>
  <si>
    <t>TOTAL</t>
  </si>
  <si>
    <t>Ensino secundário(2)</t>
  </si>
  <si>
    <t>Ensino superior(3)</t>
  </si>
  <si>
    <t>Freq.absoluta(Fi)</t>
  </si>
  <si>
    <t>Freq.relativa(fi)%</t>
  </si>
  <si>
    <t>Total Geral</t>
  </si>
  <si>
    <t>Idade</t>
  </si>
  <si>
    <t xml:space="preserve">horas dormidas </t>
  </si>
  <si>
    <t>freq.absoluta</t>
  </si>
  <si>
    <t>freq.relativa%</t>
  </si>
  <si>
    <t>Total Contagem de Sono_Q556</t>
  </si>
  <si>
    <t>Contagem de Sono_Q556</t>
  </si>
  <si>
    <t>Total %</t>
  </si>
  <si>
    <t>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</si>
</sst>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%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/>
    <xf numFmtId="0" fontId="0" fillId="2" borderId="3" xfId="0" applyFill="1" applyBorder="1"/>
    <xf numFmtId="0" fontId="0" fillId="2" borderId="4" xfId="0" applyFill="1" applyBorder="1"/>
    <xf numFmtId="0" fontId="0" fillId="0" borderId="5" xfId="0" applyBorder="1" applyAlignment="1">
      <alignment horizontal="left"/>
    </xf>
    <xf numFmtId="0" fontId="0" fillId="0" borderId="0" xfId="0" applyAlignment="1">
      <alignment horizontal="left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" xfId="0" applyBorder="1"/>
    <xf numFmtId="0" fontId="0" fillId="0" borderId="3" xfId="0" applyBorder="1"/>
    <xf numFmtId="0" fontId="0" fillId="0" borderId="11" xfId="0" applyBorder="1"/>
    <xf numFmtId="0" fontId="0" fillId="0" borderId="12" xfId="0" applyBorder="1"/>
    <xf numFmtId="0" fontId="0" fillId="0" borderId="2" xfId="0" applyBorder="1"/>
    <xf numFmtId="0" fontId="0" fillId="0" borderId="4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10" fontId="0" fillId="0" borderId="0" xfId="0" applyNumberFormat="1"/>
    <xf numFmtId="0" fontId="0" fillId="0" borderId="0" xfId="0" pivotButton="1"/>
    <xf numFmtId="15" fontId="0" fillId="0" borderId="0" xfId="0" applyNumberFormat="1"/>
    <xf numFmtId="0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2">
    <dxf>
      <numFmt numFmtId="14" formatCode="0.00%"/>
    </dxf>
    <dxf>
      <numFmt numFmtId="14" formatCode="0.00%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Lourenço" refreshedDate="45738.717596180555" createdVersion="8" refreshedVersion="8" minRefreshableVersion="3" recordCount="833" xr:uid="{60CC6AB7-C332-4A45-91A7-F9BCDE05B349}">
  <cacheSource type="worksheet">
    <worksheetSource ref="A1:N834" sheet="Dados"/>
  </cacheSource>
  <cacheFields count="14">
    <cacheField name="ID" numFmtId="0">
      <sharedItems containsSemiMixedTypes="0" containsString="0" containsNumber="1" containsInteger="1" minValue="1" maxValue="833" count="833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5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5"/>
        <n v="156"/>
        <n v="157"/>
        <n v="158"/>
        <n v="159"/>
        <n v="160"/>
        <n v="161"/>
        <n v="162"/>
        <n v="163"/>
        <n v="164"/>
        <n v="165"/>
        <n v="166"/>
        <n v="167"/>
        <n v="168"/>
        <n v="169"/>
        <n v="170"/>
        <n v="171"/>
        <n v="172"/>
        <n v="173"/>
        <n v="174"/>
        <n v="175"/>
        <n v="176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  <n v="194"/>
        <n v="195"/>
        <n v="196"/>
        <n v="197"/>
        <n v="198"/>
        <n v="199"/>
        <n v="200"/>
        <n v="201"/>
        <n v="202"/>
        <n v="203"/>
        <n v="204"/>
        <n v="205"/>
        <n v="206"/>
        <n v="207"/>
        <n v="208"/>
        <n v="209"/>
        <n v="210"/>
        <n v="211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50"/>
        <n v="251"/>
        <n v="252"/>
        <n v="253"/>
        <n v="254"/>
        <n v="255"/>
        <n v="256"/>
        <n v="257"/>
        <n v="258"/>
        <n v="259"/>
        <n v="260"/>
        <n v="261"/>
        <n v="262"/>
        <n v="263"/>
        <n v="264"/>
        <n v="265"/>
        <n v="266"/>
        <n v="267"/>
        <n v="268"/>
        <n v="269"/>
        <n v="270"/>
        <n v="271"/>
        <n v="272"/>
        <n v="273"/>
        <n v="274"/>
        <n v="275"/>
        <n v="276"/>
        <n v="277"/>
        <n v="278"/>
        <n v="279"/>
        <n v="280"/>
        <n v="281"/>
        <n v="282"/>
        <n v="283"/>
        <n v="284"/>
        <n v="285"/>
        <n v="286"/>
        <n v="287"/>
        <n v="288"/>
        <n v="289"/>
        <n v="290"/>
        <n v="291"/>
        <n v="292"/>
        <n v="293"/>
        <n v="294"/>
        <n v="295"/>
        <n v="296"/>
        <n v="297"/>
        <n v="298"/>
        <n v="299"/>
        <n v="300"/>
        <n v="301"/>
        <n v="302"/>
        <n v="303"/>
        <n v="304"/>
        <n v="305"/>
        <n v="306"/>
        <n v="307"/>
        <n v="308"/>
        <n v="309"/>
        <n v="310"/>
        <n v="311"/>
        <n v="312"/>
        <n v="313"/>
        <n v="314"/>
        <n v="315"/>
        <n v="316"/>
        <n v="317"/>
        <n v="318"/>
        <n v="319"/>
        <n v="320"/>
        <n v="321"/>
        <n v="322"/>
        <n v="323"/>
        <n v="324"/>
        <n v="325"/>
        <n v="326"/>
        <n v="327"/>
        <n v="328"/>
        <n v="329"/>
        <n v="330"/>
        <n v="331"/>
        <n v="332"/>
        <n v="333"/>
        <n v="334"/>
        <n v="335"/>
        <n v="336"/>
        <n v="337"/>
        <n v="338"/>
        <n v="339"/>
        <n v="340"/>
        <n v="341"/>
        <n v="342"/>
        <n v="343"/>
        <n v="344"/>
        <n v="345"/>
        <n v="346"/>
        <n v="347"/>
        <n v="348"/>
        <n v="349"/>
        <n v="350"/>
        <n v="351"/>
        <n v="352"/>
        <n v="353"/>
        <n v="354"/>
        <n v="355"/>
        <n v="356"/>
        <n v="357"/>
        <n v="358"/>
        <n v="359"/>
        <n v="360"/>
        <n v="361"/>
        <n v="362"/>
        <n v="363"/>
        <n v="364"/>
        <n v="365"/>
        <n v="366"/>
        <n v="367"/>
        <n v="368"/>
        <n v="369"/>
        <n v="370"/>
        <n v="371"/>
        <n v="372"/>
        <n v="373"/>
        <n v="374"/>
        <n v="375"/>
        <n v="376"/>
        <n v="377"/>
        <n v="378"/>
        <n v="379"/>
        <n v="380"/>
        <n v="381"/>
        <n v="382"/>
        <n v="383"/>
        <n v="384"/>
        <n v="385"/>
        <n v="386"/>
        <n v="387"/>
        <n v="388"/>
        <n v="389"/>
        <n v="390"/>
        <n v="391"/>
        <n v="392"/>
        <n v="393"/>
        <n v="394"/>
        <n v="395"/>
        <n v="396"/>
        <n v="397"/>
        <n v="398"/>
        <n v="399"/>
        <n v="400"/>
        <n v="401"/>
        <n v="402"/>
        <n v="403"/>
        <n v="404"/>
        <n v="405"/>
        <n v="406"/>
        <n v="407"/>
        <n v="408"/>
        <n v="409"/>
        <n v="410"/>
        <n v="411"/>
        <n v="412"/>
        <n v="413"/>
        <n v="414"/>
        <n v="415"/>
        <n v="416"/>
        <n v="417"/>
        <n v="418"/>
        <n v="419"/>
        <n v="420"/>
        <n v="421"/>
        <n v="422"/>
        <n v="423"/>
        <n v="424"/>
        <n v="425"/>
        <n v="426"/>
        <n v="427"/>
        <n v="428"/>
        <n v="429"/>
        <n v="430"/>
        <n v="431"/>
        <n v="432"/>
        <n v="433"/>
        <n v="434"/>
        <n v="435"/>
        <n v="436"/>
        <n v="437"/>
        <n v="438"/>
        <n v="439"/>
        <n v="440"/>
        <n v="441"/>
        <n v="442"/>
        <n v="443"/>
        <n v="444"/>
        <n v="445"/>
        <n v="446"/>
        <n v="447"/>
        <n v="448"/>
        <n v="449"/>
        <n v="450"/>
        <n v="451"/>
        <n v="452"/>
        <n v="453"/>
        <n v="454"/>
        <n v="455"/>
        <n v="456"/>
        <n v="457"/>
        <n v="458"/>
        <n v="459"/>
        <n v="460"/>
        <n v="461"/>
        <n v="462"/>
        <n v="463"/>
        <n v="464"/>
        <n v="465"/>
        <n v="466"/>
        <n v="467"/>
        <n v="468"/>
        <n v="469"/>
        <n v="470"/>
        <n v="471"/>
        <n v="472"/>
        <n v="473"/>
        <n v="474"/>
        <n v="475"/>
        <n v="476"/>
        <n v="477"/>
        <n v="478"/>
        <n v="479"/>
        <n v="480"/>
        <n v="481"/>
        <n v="482"/>
        <n v="483"/>
        <n v="484"/>
        <n v="485"/>
        <n v="486"/>
        <n v="487"/>
        <n v="488"/>
        <n v="489"/>
        <n v="490"/>
        <n v="491"/>
        <n v="492"/>
        <n v="493"/>
        <n v="494"/>
        <n v="495"/>
        <n v="496"/>
        <n v="497"/>
        <n v="498"/>
        <n v="499"/>
        <n v="500"/>
        <n v="501"/>
        <n v="502"/>
        <n v="503"/>
        <n v="504"/>
        <n v="505"/>
        <n v="506"/>
        <n v="507"/>
        <n v="508"/>
        <n v="509"/>
        <n v="510"/>
        <n v="511"/>
        <n v="512"/>
        <n v="513"/>
        <n v="514"/>
        <n v="515"/>
        <n v="516"/>
        <n v="517"/>
        <n v="518"/>
        <n v="519"/>
        <n v="520"/>
        <n v="521"/>
        <n v="522"/>
        <n v="523"/>
        <n v="524"/>
        <n v="525"/>
        <n v="526"/>
        <n v="527"/>
        <n v="528"/>
        <n v="529"/>
        <n v="530"/>
        <n v="531"/>
        <n v="532"/>
        <n v="533"/>
        <n v="534"/>
        <n v="535"/>
        <n v="536"/>
        <n v="537"/>
        <n v="538"/>
        <n v="539"/>
        <n v="540"/>
        <n v="541"/>
        <n v="542"/>
        <n v="543"/>
        <n v="544"/>
        <n v="545"/>
        <n v="546"/>
        <n v="547"/>
        <n v="548"/>
        <n v="549"/>
        <n v="550"/>
        <n v="551"/>
        <n v="552"/>
        <n v="553"/>
        <n v="554"/>
        <n v="555"/>
        <n v="556"/>
        <n v="557"/>
        <n v="558"/>
        <n v="559"/>
        <n v="560"/>
        <n v="561"/>
        <n v="562"/>
        <n v="563"/>
        <n v="564"/>
        <n v="565"/>
        <n v="566"/>
        <n v="567"/>
        <n v="568"/>
        <n v="569"/>
        <n v="570"/>
        <n v="571"/>
        <n v="572"/>
        <n v="573"/>
        <n v="574"/>
        <n v="575"/>
        <n v="576"/>
        <n v="577"/>
        <n v="578"/>
        <n v="579"/>
        <n v="580"/>
        <n v="581"/>
        <n v="582"/>
        <n v="583"/>
        <n v="584"/>
        <n v="585"/>
        <n v="586"/>
        <n v="587"/>
        <n v="588"/>
        <n v="589"/>
        <n v="590"/>
        <n v="591"/>
        <n v="592"/>
        <n v="593"/>
        <n v="594"/>
        <n v="595"/>
        <n v="596"/>
        <n v="597"/>
        <n v="598"/>
        <n v="599"/>
        <n v="600"/>
        <n v="601"/>
        <n v="602"/>
        <n v="603"/>
        <n v="604"/>
        <n v="605"/>
        <n v="606"/>
        <n v="607"/>
        <n v="608"/>
        <n v="609"/>
        <n v="610"/>
        <n v="611"/>
        <n v="612"/>
        <n v="613"/>
        <n v="614"/>
        <n v="615"/>
        <n v="616"/>
        <n v="617"/>
        <n v="618"/>
        <n v="619"/>
        <n v="620"/>
        <n v="621"/>
        <n v="622"/>
        <n v="623"/>
        <n v="624"/>
        <n v="625"/>
        <n v="626"/>
        <n v="627"/>
        <n v="628"/>
        <n v="629"/>
        <n v="630"/>
        <n v="631"/>
        <n v="632"/>
        <n v="633"/>
        <n v="634"/>
        <n v="635"/>
        <n v="636"/>
        <n v="637"/>
        <n v="638"/>
        <n v="639"/>
        <n v="640"/>
        <n v="641"/>
        <n v="642"/>
        <n v="643"/>
        <n v="644"/>
        <n v="645"/>
        <n v="646"/>
        <n v="647"/>
        <n v="648"/>
        <n v="649"/>
        <n v="650"/>
        <n v="651"/>
        <n v="652"/>
        <n v="653"/>
        <n v="654"/>
        <n v="655"/>
        <n v="656"/>
        <n v="657"/>
        <n v="658"/>
        <n v="659"/>
        <n v="660"/>
        <n v="661"/>
        <n v="662"/>
        <n v="663"/>
        <n v="664"/>
        <n v="665"/>
        <n v="666"/>
        <n v="667"/>
        <n v="668"/>
        <n v="669"/>
        <n v="670"/>
        <n v="671"/>
        <n v="672"/>
        <n v="673"/>
        <n v="674"/>
        <n v="675"/>
        <n v="676"/>
        <n v="677"/>
        <n v="678"/>
        <n v="679"/>
        <n v="680"/>
        <n v="681"/>
        <n v="682"/>
        <n v="683"/>
        <n v="684"/>
        <n v="685"/>
        <n v="686"/>
        <n v="687"/>
        <n v="688"/>
        <n v="689"/>
        <n v="690"/>
        <n v="691"/>
        <n v="692"/>
        <n v="693"/>
        <n v="694"/>
        <n v="695"/>
        <n v="696"/>
        <n v="697"/>
        <n v="698"/>
        <n v="699"/>
        <n v="700"/>
        <n v="701"/>
        <n v="702"/>
        <n v="703"/>
        <n v="704"/>
        <n v="705"/>
        <n v="706"/>
        <n v="707"/>
        <n v="708"/>
        <n v="709"/>
        <n v="710"/>
        <n v="711"/>
        <n v="712"/>
        <n v="713"/>
        <n v="714"/>
        <n v="715"/>
        <n v="716"/>
        <n v="717"/>
        <n v="718"/>
        <n v="719"/>
        <n v="720"/>
        <n v="721"/>
        <n v="722"/>
        <n v="723"/>
        <n v="724"/>
        <n v="725"/>
        <n v="726"/>
        <n v="727"/>
        <n v="728"/>
        <n v="729"/>
        <n v="730"/>
        <n v="731"/>
        <n v="732"/>
        <n v="733"/>
        <n v="734"/>
        <n v="735"/>
        <n v="736"/>
        <n v="737"/>
        <n v="738"/>
        <n v="739"/>
        <n v="740"/>
        <n v="741"/>
        <n v="742"/>
        <n v="743"/>
        <n v="744"/>
        <n v="745"/>
        <n v="746"/>
        <n v="747"/>
        <n v="748"/>
        <n v="749"/>
        <n v="750"/>
        <n v="751"/>
        <n v="752"/>
        <n v="753"/>
        <n v="754"/>
        <n v="755"/>
        <n v="756"/>
        <n v="757"/>
        <n v="758"/>
        <n v="759"/>
        <n v="760"/>
        <n v="761"/>
        <n v="762"/>
        <n v="763"/>
        <n v="764"/>
        <n v="765"/>
        <n v="766"/>
        <n v="767"/>
        <n v="768"/>
        <n v="769"/>
        <n v="770"/>
        <n v="771"/>
        <n v="772"/>
        <n v="773"/>
        <n v="774"/>
        <n v="775"/>
        <n v="776"/>
        <n v="777"/>
        <n v="778"/>
        <n v="779"/>
        <n v="780"/>
        <n v="781"/>
        <n v="782"/>
        <n v="783"/>
        <n v="784"/>
        <n v="785"/>
        <n v="786"/>
        <n v="787"/>
        <n v="788"/>
        <n v="789"/>
        <n v="790"/>
        <n v="791"/>
        <n v="792"/>
        <n v="793"/>
        <n v="794"/>
        <n v="795"/>
        <n v="796"/>
        <n v="797"/>
        <n v="798"/>
        <n v="799"/>
        <n v="80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</sharedItems>
    </cacheField>
    <cacheField name="nutII" numFmtId="0">
      <sharedItems containsSemiMixedTypes="0" containsString="0" containsNumber="1" containsInteger="1" minValue="101" maxValue="101"/>
    </cacheField>
    <cacheField name="genero" numFmtId="0">
      <sharedItems containsSemiMixedTypes="0" containsString="0" containsNumber="1" containsInteger="1" minValue="1" maxValue="4" count="3">
        <n v="2"/>
        <n v="1"/>
        <n v="4"/>
      </sharedItems>
    </cacheField>
    <cacheField name="genero_texto" numFmtId="0">
      <sharedItems count="3">
        <s v="Feminino"/>
        <s v="Masculino"/>
        <s v="Prefiro não responder"/>
      </sharedItems>
    </cacheField>
    <cacheField name="P3" numFmtId="0">
      <sharedItems containsSemiMixedTypes="0" containsString="0" containsNumber="1" containsInteger="1" minValue="3" maxValue="11" count="9">
        <n v="7"/>
        <n v="6"/>
        <n v="8"/>
        <n v="10"/>
        <n v="4"/>
        <n v="9"/>
        <n v="3"/>
        <n v="5"/>
        <n v="11"/>
      </sharedItems>
    </cacheField>
    <cacheField name="cicloescolar" numFmtId="0">
      <sharedItems containsSemiMixedTypes="0" containsString="0" containsNumber="1" containsInteger="1" minValue="0" maxValue="1"/>
    </cacheField>
    <cacheField name="P6" numFmtId="0">
      <sharedItems containsSemiMixedTypes="0" containsString="0" containsNumber="1" containsInteger="1" minValue="1" maxValue="99" count="4">
        <n v="99"/>
        <n v="2"/>
        <n v="1"/>
        <n v="3"/>
      </sharedItems>
    </cacheField>
    <cacheField name="v22" numFmtId="0">
      <sharedItems containsSemiMixedTypes="0" containsString="0" containsNumber="1" containsInteger="1" minValue="0" maxValue="99" count="4">
        <n v="0"/>
        <n v="1"/>
        <n v="2"/>
        <n v="99"/>
      </sharedItems>
    </cacheField>
    <cacheField name="v25" numFmtId="0">
      <sharedItems containsSemiMixedTypes="0" containsString="0" containsNumber="1" containsInteger="1" minValue="0" maxValue="99"/>
    </cacheField>
    <cacheField name="Pg" numFmtId="0">
      <sharedItems containsSemiMixedTypes="0" containsString="0" containsNumber="1" containsInteger="1" minValue="0" maxValue="99" count="4">
        <n v="2"/>
        <n v="0"/>
        <n v="1"/>
        <n v="99"/>
      </sharedItems>
    </cacheField>
    <cacheField name="Pl" numFmtId="0">
      <sharedItems containsSemiMixedTypes="0" containsString="0" containsNumber="1" containsInteger="1" minValue="0" maxValue="99"/>
    </cacheField>
    <cacheField name="Pm" numFmtId="0">
      <sharedItems containsSemiMixedTypes="0" containsString="0" containsNumber="1" containsInteger="1" minValue="0" maxValue="99" count="4">
        <n v="1"/>
        <n v="0"/>
        <n v="2"/>
        <n v="99"/>
      </sharedItems>
    </cacheField>
    <cacheField name="Px" numFmtId="0">
      <sharedItems containsSemiMixedTypes="0" containsString="0" containsNumber="1" containsInteger="1" minValue="0" maxValue="99"/>
    </cacheField>
    <cacheField name="Sono_Q556" numFmtId="0">
      <sharedItems containsSemiMixedTypes="0" containsString="0" containsNumber="1" containsInteger="1" minValue="7" maxValue="99" count="6">
        <n v="10"/>
        <n v="9"/>
        <n v="8"/>
        <n v="7"/>
        <n v="99"/>
        <n v="12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João Lourenço" refreshedDate="45738.812042129626" createdVersion="8" refreshedVersion="8" minRefreshableVersion="3" recordCount="834" xr:uid="{7D6CF873-6C41-674F-B66D-DD5718EE5893}">
  <cacheSource type="worksheet">
    <worksheetSource ref="A1:N1048576" sheet="Dados"/>
  </cacheSource>
  <cacheFields count="14">
    <cacheField name="ID" numFmtId="0">
      <sharedItems containsString="0" containsBlank="1" containsNumber="1" containsInteger="1" minValue="1" maxValue="833"/>
    </cacheField>
    <cacheField name="nutII" numFmtId="0">
      <sharedItems containsString="0" containsBlank="1" containsNumber="1" containsInteger="1" minValue="101" maxValue="101"/>
    </cacheField>
    <cacheField name="genero" numFmtId="0">
      <sharedItems containsString="0" containsBlank="1" containsNumber="1" containsInteger="1" minValue="1" maxValue="4"/>
    </cacheField>
    <cacheField name="genero_texto" numFmtId="0">
      <sharedItems containsBlank="1" count="4">
        <s v="Feminino"/>
        <s v="Masculino"/>
        <s v="Prefiro não responder"/>
        <m/>
      </sharedItems>
    </cacheField>
    <cacheField name="P3" numFmtId="0">
      <sharedItems containsString="0" containsBlank="1" containsNumber="1" containsInteger="1" minValue="3" maxValue="11" count="10">
        <n v="7"/>
        <n v="6"/>
        <n v="8"/>
        <n v="10"/>
        <n v="4"/>
        <n v="9"/>
        <n v="3"/>
        <n v="5"/>
        <n v="11"/>
        <m/>
      </sharedItems>
    </cacheField>
    <cacheField name="cicloescolar" numFmtId="0">
      <sharedItems containsString="0" containsBlank="1" containsNumber="1" containsInteger="1" minValue="0" maxValue="1"/>
    </cacheField>
    <cacheField name="P6" numFmtId="0">
      <sharedItems containsString="0" containsBlank="1" containsNumber="1" containsInteger="1" minValue="1" maxValue="99"/>
    </cacheField>
    <cacheField name="v22" numFmtId="0">
      <sharedItems containsString="0" containsBlank="1" containsNumber="1" containsInteger="1" minValue="0" maxValue="99"/>
    </cacheField>
    <cacheField name="v25" numFmtId="0">
      <sharedItems containsString="0" containsBlank="1" containsNumber="1" containsInteger="1" minValue="0" maxValue="99"/>
    </cacheField>
    <cacheField name="Pg" numFmtId="0">
      <sharedItems containsString="0" containsBlank="1" containsNumber="1" containsInteger="1" minValue="0" maxValue="99"/>
    </cacheField>
    <cacheField name="Pl" numFmtId="0">
      <sharedItems containsString="0" containsBlank="1" containsNumber="1" containsInteger="1" minValue="0" maxValue="99"/>
    </cacheField>
    <cacheField name="Pm" numFmtId="0">
      <sharedItems containsString="0" containsBlank="1" containsNumber="1" containsInteger="1" minValue="0" maxValue="99"/>
    </cacheField>
    <cacheField name="Px" numFmtId="0">
      <sharedItems containsString="0" containsBlank="1" containsNumber="1" containsInteger="1" minValue="0" maxValue="99"/>
    </cacheField>
    <cacheField name="Sono_Q556" numFmtId="0">
      <sharedItems containsString="0" containsBlank="1" containsNumber="1" containsInteger="1" minValue="7" maxValue="9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3">
  <r>
    <x v="0"/>
    <n v="101"/>
    <x v="0"/>
    <x v="0"/>
    <x v="0"/>
    <n v="1"/>
    <x v="0"/>
    <x v="0"/>
    <n v="0"/>
    <x v="0"/>
    <n v="0"/>
    <x v="0"/>
    <n v="1"/>
    <x v="0"/>
  </r>
  <r>
    <x v="1"/>
    <n v="101"/>
    <x v="0"/>
    <x v="0"/>
    <x v="1"/>
    <n v="1"/>
    <x v="1"/>
    <x v="1"/>
    <n v="0"/>
    <x v="0"/>
    <n v="0"/>
    <x v="0"/>
    <n v="1"/>
    <x v="1"/>
  </r>
  <r>
    <x v="2"/>
    <n v="101"/>
    <x v="1"/>
    <x v="1"/>
    <x v="2"/>
    <n v="1"/>
    <x v="1"/>
    <x v="2"/>
    <n v="2"/>
    <x v="1"/>
    <n v="2"/>
    <x v="1"/>
    <n v="0"/>
    <x v="2"/>
  </r>
  <r>
    <x v="3"/>
    <n v="101"/>
    <x v="1"/>
    <x v="1"/>
    <x v="3"/>
    <n v="1"/>
    <x v="2"/>
    <x v="0"/>
    <n v="0"/>
    <x v="0"/>
    <n v="0"/>
    <x v="1"/>
    <n v="0"/>
    <x v="3"/>
  </r>
  <r>
    <x v="4"/>
    <n v="101"/>
    <x v="1"/>
    <x v="1"/>
    <x v="4"/>
    <n v="0"/>
    <x v="1"/>
    <x v="2"/>
    <n v="1"/>
    <x v="2"/>
    <n v="0"/>
    <x v="0"/>
    <n v="0"/>
    <x v="3"/>
  </r>
  <r>
    <x v="5"/>
    <n v="101"/>
    <x v="1"/>
    <x v="1"/>
    <x v="1"/>
    <n v="1"/>
    <x v="2"/>
    <x v="1"/>
    <n v="1"/>
    <x v="0"/>
    <n v="2"/>
    <x v="0"/>
    <n v="2"/>
    <x v="2"/>
  </r>
  <r>
    <x v="6"/>
    <n v="101"/>
    <x v="0"/>
    <x v="0"/>
    <x v="0"/>
    <n v="1"/>
    <x v="3"/>
    <x v="0"/>
    <n v="0"/>
    <x v="0"/>
    <n v="0"/>
    <x v="1"/>
    <n v="0"/>
    <x v="3"/>
  </r>
  <r>
    <x v="7"/>
    <n v="101"/>
    <x v="1"/>
    <x v="1"/>
    <x v="3"/>
    <n v="1"/>
    <x v="1"/>
    <x v="1"/>
    <n v="0"/>
    <x v="0"/>
    <n v="0"/>
    <x v="1"/>
    <n v="0"/>
    <x v="0"/>
  </r>
  <r>
    <x v="8"/>
    <n v="101"/>
    <x v="1"/>
    <x v="1"/>
    <x v="0"/>
    <n v="1"/>
    <x v="1"/>
    <x v="2"/>
    <n v="0"/>
    <x v="0"/>
    <n v="0"/>
    <x v="1"/>
    <n v="0"/>
    <x v="1"/>
  </r>
  <r>
    <x v="9"/>
    <n v="101"/>
    <x v="0"/>
    <x v="0"/>
    <x v="3"/>
    <n v="1"/>
    <x v="2"/>
    <x v="0"/>
    <n v="0"/>
    <x v="0"/>
    <n v="0"/>
    <x v="1"/>
    <n v="0"/>
    <x v="3"/>
  </r>
  <r>
    <x v="10"/>
    <n v="101"/>
    <x v="1"/>
    <x v="1"/>
    <x v="0"/>
    <n v="1"/>
    <x v="1"/>
    <x v="2"/>
    <n v="0"/>
    <x v="0"/>
    <n v="0"/>
    <x v="1"/>
    <n v="1"/>
    <x v="2"/>
  </r>
  <r>
    <x v="11"/>
    <n v="101"/>
    <x v="0"/>
    <x v="0"/>
    <x v="1"/>
    <n v="1"/>
    <x v="2"/>
    <x v="0"/>
    <n v="0"/>
    <x v="0"/>
    <n v="0"/>
    <x v="1"/>
    <n v="0"/>
    <x v="0"/>
  </r>
  <r>
    <x v="12"/>
    <n v="101"/>
    <x v="0"/>
    <x v="0"/>
    <x v="5"/>
    <n v="1"/>
    <x v="1"/>
    <x v="0"/>
    <n v="2"/>
    <x v="2"/>
    <n v="1"/>
    <x v="2"/>
    <n v="1"/>
    <x v="2"/>
  </r>
  <r>
    <x v="13"/>
    <n v="101"/>
    <x v="0"/>
    <x v="0"/>
    <x v="2"/>
    <n v="1"/>
    <x v="1"/>
    <x v="1"/>
    <n v="0"/>
    <x v="0"/>
    <n v="0"/>
    <x v="1"/>
    <n v="0"/>
    <x v="1"/>
  </r>
  <r>
    <x v="14"/>
    <n v="101"/>
    <x v="1"/>
    <x v="1"/>
    <x v="5"/>
    <n v="1"/>
    <x v="1"/>
    <x v="2"/>
    <n v="2"/>
    <x v="1"/>
    <n v="2"/>
    <x v="1"/>
    <n v="0"/>
    <x v="3"/>
  </r>
  <r>
    <x v="15"/>
    <n v="101"/>
    <x v="0"/>
    <x v="0"/>
    <x v="5"/>
    <n v="1"/>
    <x v="2"/>
    <x v="0"/>
    <n v="0"/>
    <x v="0"/>
    <n v="0"/>
    <x v="1"/>
    <n v="0"/>
    <x v="1"/>
  </r>
  <r>
    <x v="16"/>
    <n v="101"/>
    <x v="0"/>
    <x v="0"/>
    <x v="5"/>
    <n v="1"/>
    <x v="2"/>
    <x v="1"/>
    <n v="1"/>
    <x v="2"/>
    <n v="0"/>
    <x v="1"/>
    <n v="2"/>
    <x v="0"/>
  </r>
  <r>
    <x v="17"/>
    <n v="101"/>
    <x v="0"/>
    <x v="0"/>
    <x v="0"/>
    <n v="1"/>
    <x v="3"/>
    <x v="2"/>
    <n v="1"/>
    <x v="0"/>
    <n v="0"/>
    <x v="1"/>
    <n v="1"/>
    <x v="2"/>
  </r>
  <r>
    <x v="18"/>
    <n v="101"/>
    <x v="0"/>
    <x v="0"/>
    <x v="0"/>
    <n v="1"/>
    <x v="2"/>
    <x v="0"/>
    <n v="0"/>
    <x v="0"/>
    <n v="0"/>
    <x v="1"/>
    <n v="0"/>
    <x v="3"/>
  </r>
  <r>
    <x v="19"/>
    <n v="101"/>
    <x v="1"/>
    <x v="1"/>
    <x v="2"/>
    <n v="1"/>
    <x v="1"/>
    <x v="2"/>
    <n v="0"/>
    <x v="0"/>
    <n v="0"/>
    <x v="1"/>
    <n v="2"/>
    <x v="1"/>
  </r>
  <r>
    <x v="20"/>
    <n v="101"/>
    <x v="0"/>
    <x v="0"/>
    <x v="5"/>
    <n v="1"/>
    <x v="1"/>
    <x v="1"/>
    <n v="0"/>
    <x v="0"/>
    <n v="0"/>
    <x v="1"/>
    <n v="0"/>
    <x v="4"/>
  </r>
  <r>
    <x v="21"/>
    <n v="101"/>
    <x v="0"/>
    <x v="0"/>
    <x v="2"/>
    <n v="1"/>
    <x v="1"/>
    <x v="3"/>
    <n v="0"/>
    <x v="0"/>
    <n v="0"/>
    <x v="0"/>
    <n v="1"/>
    <x v="1"/>
  </r>
  <r>
    <x v="22"/>
    <n v="101"/>
    <x v="0"/>
    <x v="0"/>
    <x v="1"/>
    <n v="1"/>
    <x v="2"/>
    <x v="0"/>
    <n v="0"/>
    <x v="0"/>
    <n v="0"/>
    <x v="1"/>
    <n v="0"/>
    <x v="2"/>
  </r>
  <r>
    <x v="23"/>
    <n v="101"/>
    <x v="0"/>
    <x v="0"/>
    <x v="0"/>
    <n v="1"/>
    <x v="3"/>
    <x v="1"/>
    <n v="0"/>
    <x v="0"/>
    <n v="0"/>
    <x v="1"/>
    <n v="0"/>
    <x v="3"/>
  </r>
  <r>
    <x v="24"/>
    <n v="101"/>
    <x v="0"/>
    <x v="0"/>
    <x v="1"/>
    <n v="1"/>
    <x v="2"/>
    <x v="1"/>
    <n v="0"/>
    <x v="0"/>
    <n v="0"/>
    <x v="1"/>
    <n v="1"/>
    <x v="0"/>
  </r>
  <r>
    <x v="25"/>
    <n v="101"/>
    <x v="1"/>
    <x v="1"/>
    <x v="0"/>
    <n v="1"/>
    <x v="1"/>
    <x v="0"/>
    <n v="0"/>
    <x v="0"/>
    <n v="0"/>
    <x v="0"/>
    <n v="0"/>
    <x v="1"/>
  </r>
  <r>
    <x v="26"/>
    <n v="101"/>
    <x v="0"/>
    <x v="0"/>
    <x v="5"/>
    <n v="1"/>
    <x v="1"/>
    <x v="0"/>
    <n v="0"/>
    <x v="0"/>
    <n v="0"/>
    <x v="1"/>
    <n v="0"/>
    <x v="2"/>
  </r>
  <r>
    <x v="27"/>
    <n v="101"/>
    <x v="0"/>
    <x v="0"/>
    <x v="3"/>
    <n v="1"/>
    <x v="1"/>
    <x v="0"/>
    <n v="0"/>
    <x v="0"/>
    <n v="0"/>
    <x v="1"/>
    <n v="0"/>
    <x v="0"/>
  </r>
  <r>
    <x v="28"/>
    <n v="101"/>
    <x v="0"/>
    <x v="0"/>
    <x v="6"/>
    <n v="0"/>
    <x v="1"/>
    <x v="0"/>
    <n v="0"/>
    <x v="0"/>
    <n v="0"/>
    <x v="1"/>
    <n v="0"/>
    <x v="4"/>
  </r>
  <r>
    <x v="29"/>
    <n v="101"/>
    <x v="0"/>
    <x v="0"/>
    <x v="2"/>
    <n v="1"/>
    <x v="0"/>
    <x v="0"/>
    <n v="0"/>
    <x v="0"/>
    <n v="0"/>
    <x v="1"/>
    <n v="0"/>
    <x v="1"/>
  </r>
  <r>
    <x v="30"/>
    <n v="101"/>
    <x v="0"/>
    <x v="0"/>
    <x v="0"/>
    <n v="1"/>
    <x v="1"/>
    <x v="2"/>
    <n v="1"/>
    <x v="2"/>
    <n v="1"/>
    <x v="0"/>
    <n v="99"/>
    <x v="3"/>
  </r>
  <r>
    <x v="31"/>
    <n v="101"/>
    <x v="1"/>
    <x v="1"/>
    <x v="2"/>
    <n v="1"/>
    <x v="2"/>
    <x v="1"/>
    <n v="0"/>
    <x v="0"/>
    <n v="0"/>
    <x v="1"/>
    <n v="1"/>
    <x v="2"/>
  </r>
  <r>
    <x v="32"/>
    <n v="101"/>
    <x v="1"/>
    <x v="1"/>
    <x v="2"/>
    <n v="1"/>
    <x v="1"/>
    <x v="1"/>
    <n v="0"/>
    <x v="0"/>
    <n v="0"/>
    <x v="2"/>
    <n v="0"/>
    <x v="0"/>
  </r>
  <r>
    <x v="33"/>
    <n v="101"/>
    <x v="1"/>
    <x v="1"/>
    <x v="1"/>
    <n v="1"/>
    <x v="2"/>
    <x v="2"/>
    <n v="1"/>
    <x v="2"/>
    <n v="1"/>
    <x v="0"/>
    <n v="1"/>
    <x v="2"/>
  </r>
  <r>
    <x v="34"/>
    <n v="101"/>
    <x v="1"/>
    <x v="1"/>
    <x v="1"/>
    <n v="1"/>
    <x v="2"/>
    <x v="2"/>
    <n v="0"/>
    <x v="2"/>
    <n v="0"/>
    <x v="0"/>
    <n v="2"/>
    <x v="0"/>
  </r>
  <r>
    <x v="35"/>
    <n v="101"/>
    <x v="1"/>
    <x v="1"/>
    <x v="4"/>
    <n v="0"/>
    <x v="3"/>
    <x v="2"/>
    <n v="1"/>
    <x v="0"/>
    <n v="0"/>
    <x v="1"/>
    <n v="2"/>
    <x v="3"/>
  </r>
  <r>
    <x v="36"/>
    <n v="101"/>
    <x v="1"/>
    <x v="1"/>
    <x v="7"/>
    <n v="0"/>
    <x v="3"/>
    <x v="1"/>
    <n v="0"/>
    <x v="0"/>
    <n v="0"/>
    <x v="1"/>
    <n v="0"/>
    <x v="2"/>
  </r>
  <r>
    <x v="37"/>
    <n v="101"/>
    <x v="0"/>
    <x v="0"/>
    <x v="1"/>
    <n v="1"/>
    <x v="3"/>
    <x v="0"/>
    <n v="0"/>
    <x v="0"/>
    <n v="0"/>
    <x v="0"/>
    <n v="1"/>
    <x v="3"/>
  </r>
  <r>
    <x v="38"/>
    <n v="101"/>
    <x v="1"/>
    <x v="1"/>
    <x v="0"/>
    <n v="1"/>
    <x v="0"/>
    <x v="2"/>
    <n v="0"/>
    <x v="0"/>
    <n v="0"/>
    <x v="1"/>
    <n v="2"/>
    <x v="2"/>
  </r>
  <r>
    <x v="39"/>
    <n v="101"/>
    <x v="0"/>
    <x v="0"/>
    <x v="5"/>
    <n v="1"/>
    <x v="2"/>
    <x v="2"/>
    <n v="2"/>
    <x v="1"/>
    <n v="2"/>
    <x v="1"/>
    <n v="1"/>
    <x v="2"/>
  </r>
  <r>
    <x v="40"/>
    <n v="101"/>
    <x v="0"/>
    <x v="0"/>
    <x v="2"/>
    <n v="1"/>
    <x v="3"/>
    <x v="0"/>
    <n v="0"/>
    <x v="0"/>
    <n v="0"/>
    <x v="1"/>
    <n v="0"/>
    <x v="1"/>
  </r>
  <r>
    <x v="41"/>
    <n v="101"/>
    <x v="0"/>
    <x v="0"/>
    <x v="1"/>
    <n v="1"/>
    <x v="2"/>
    <x v="2"/>
    <n v="1"/>
    <x v="2"/>
    <n v="0"/>
    <x v="1"/>
    <n v="0"/>
    <x v="1"/>
  </r>
  <r>
    <x v="42"/>
    <n v="101"/>
    <x v="0"/>
    <x v="0"/>
    <x v="1"/>
    <n v="1"/>
    <x v="1"/>
    <x v="1"/>
    <n v="0"/>
    <x v="0"/>
    <n v="0"/>
    <x v="1"/>
    <n v="0"/>
    <x v="2"/>
  </r>
  <r>
    <x v="43"/>
    <n v="101"/>
    <x v="1"/>
    <x v="1"/>
    <x v="2"/>
    <n v="1"/>
    <x v="1"/>
    <x v="0"/>
    <n v="1"/>
    <x v="0"/>
    <n v="0"/>
    <x v="1"/>
    <n v="0"/>
    <x v="4"/>
  </r>
  <r>
    <x v="44"/>
    <n v="101"/>
    <x v="1"/>
    <x v="1"/>
    <x v="1"/>
    <n v="1"/>
    <x v="3"/>
    <x v="1"/>
    <n v="0"/>
    <x v="0"/>
    <n v="0"/>
    <x v="1"/>
    <n v="99"/>
    <x v="1"/>
  </r>
  <r>
    <x v="45"/>
    <n v="101"/>
    <x v="0"/>
    <x v="0"/>
    <x v="5"/>
    <n v="1"/>
    <x v="1"/>
    <x v="0"/>
    <n v="0"/>
    <x v="0"/>
    <n v="0"/>
    <x v="1"/>
    <n v="0"/>
    <x v="0"/>
  </r>
  <r>
    <x v="46"/>
    <n v="101"/>
    <x v="0"/>
    <x v="0"/>
    <x v="2"/>
    <n v="1"/>
    <x v="1"/>
    <x v="1"/>
    <n v="0"/>
    <x v="0"/>
    <n v="0"/>
    <x v="1"/>
    <n v="0"/>
    <x v="4"/>
  </r>
  <r>
    <x v="47"/>
    <n v="101"/>
    <x v="0"/>
    <x v="0"/>
    <x v="2"/>
    <n v="1"/>
    <x v="2"/>
    <x v="1"/>
    <n v="0"/>
    <x v="0"/>
    <n v="0"/>
    <x v="1"/>
    <n v="0"/>
    <x v="2"/>
  </r>
  <r>
    <x v="48"/>
    <n v="101"/>
    <x v="0"/>
    <x v="0"/>
    <x v="5"/>
    <n v="1"/>
    <x v="3"/>
    <x v="1"/>
    <n v="0"/>
    <x v="0"/>
    <n v="0"/>
    <x v="0"/>
    <n v="2"/>
    <x v="4"/>
  </r>
  <r>
    <x v="49"/>
    <n v="101"/>
    <x v="1"/>
    <x v="1"/>
    <x v="5"/>
    <n v="1"/>
    <x v="2"/>
    <x v="1"/>
    <n v="1"/>
    <x v="0"/>
    <n v="1"/>
    <x v="1"/>
    <n v="0"/>
    <x v="1"/>
  </r>
  <r>
    <x v="50"/>
    <n v="101"/>
    <x v="1"/>
    <x v="1"/>
    <x v="3"/>
    <n v="1"/>
    <x v="0"/>
    <x v="0"/>
    <n v="0"/>
    <x v="0"/>
    <n v="0"/>
    <x v="1"/>
    <n v="0"/>
    <x v="2"/>
  </r>
  <r>
    <x v="51"/>
    <n v="101"/>
    <x v="1"/>
    <x v="1"/>
    <x v="2"/>
    <n v="1"/>
    <x v="1"/>
    <x v="2"/>
    <n v="0"/>
    <x v="2"/>
    <n v="2"/>
    <x v="0"/>
    <n v="0"/>
    <x v="1"/>
  </r>
  <r>
    <x v="52"/>
    <n v="101"/>
    <x v="1"/>
    <x v="1"/>
    <x v="5"/>
    <n v="1"/>
    <x v="2"/>
    <x v="1"/>
    <n v="0"/>
    <x v="0"/>
    <n v="0"/>
    <x v="1"/>
    <n v="2"/>
    <x v="0"/>
  </r>
  <r>
    <x v="53"/>
    <n v="101"/>
    <x v="0"/>
    <x v="0"/>
    <x v="5"/>
    <n v="1"/>
    <x v="1"/>
    <x v="0"/>
    <n v="0"/>
    <x v="0"/>
    <n v="0"/>
    <x v="1"/>
    <n v="1"/>
    <x v="2"/>
  </r>
  <r>
    <x v="54"/>
    <n v="101"/>
    <x v="0"/>
    <x v="0"/>
    <x v="5"/>
    <n v="1"/>
    <x v="3"/>
    <x v="0"/>
    <n v="0"/>
    <x v="0"/>
    <n v="0"/>
    <x v="1"/>
    <n v="0"/>
    <x v="1"/>
  </r>
  <r>
    <x v="55"/>
    <n v="101"/>
    <x v="1"/>
    <x v="1"/>
    <x v="1"/>
    <n v="1"/>
    <x v="1"/>
    <x v="0"/>
    <n v="0"/>
    <x v="0"/>
    <n v="0"/>
    <x v="1"/>
    <n v="2"/>
    <x v="2"/>
  </r>
  <r>
    <x v="56"/>
    <n v="101"/>
    <x v="0"/>
    <x v="0"/>
    <x v="0"/>
    <n v="1"/>
    <x v="1"/>
    <x v="1"/>
    <n v="0"/>
    <x v="2"/>
    <n v="1"/>
    <x v="0"/>
    <n v="1"/>
    <x v="3"/>
  </r>
  <r>
    <x v="57"/>
    <n v="101"/>
    <x v="0"/>
    <x v="0"/>
    <x v="0"/>
    <n v="1"/>
    <x v="3"/>
    <x v="1"/>
    <n v="2"/>
    <x v="1"/>
    <n v="0"/>
    <x v="1"/>
    <n v="1"/>
    <x v="2"/>
  </r>
  <r>
    <x v="58"/>
    <n v="101"/>
    <x v="1"/>
    <x v="1"/>
    <x v="2"/>
    <n v="1"/>
    <x v="0"/>
    <x v="1"/>
    <n v="1"/>
    <x v="2"/>
    <n v="2"/>
    <x v="1"/>
    <n v="0"/>
    <x v="1"/>
  </r>
  <r>
    <x v="59"/>
    <n v="101"/>
    <x v="0"/>
    <x v="0"/>
    <x v="5"/>
    <n v="1"/>
    <x v="0"/>
    <x v="0"/>
    <n v="0"/>
    <x v="0"/>
    <n v="0"/>
    <x v="0"/>
    <n v="1"/>
    <x v="0"/>
  </r>
  <r>
    <x v="60"/>
    <n v="101"/>
    <x v="0"/>
    <x v="0"/>
    <x v="1"/>
    <n v="1"/>
    <x v="3"/>
    <x v="0"/>
    <n v="0"/>
    <x v="0"/>
    <n v="0"/>
    <x v="1"/>
    <n v="0"/>
    <x v="2"/>
  </r>
  <r>
    <x v="61"/>
    <n v="101"/>
    <x v="0"/>
    <x v="0"/>
    <x v="1"/>
    <n v="1"/>
    <x v="2"/>
    <x v="0"/>
    <n v="1"/>
    <x v="0"/>
    <n v="0"/>
    <x v="1"/>
    <n v="1"/>
    <x v="4"/>
  </r>
  <r>
    <x v="62"/>
    <n v="101"/>
    <x v="0"/>
    <x v="0"/>
    <x v="0"/>
    <n v="1"/>
    <x v="2"/>
    <x v="1"/>
    <n v="0"/>
    <x v="2"/>
    <n v="0"/>
    <x v="1"/>
    <n v="1"/>
    <x v="2"/>
  </r>
  <r>
    <x v="63"/>
    <n v="101"/>
    <x v="1"/>
    <x v="1"/>
    <x v="0"/>
    <n v="1"/>
    <x v="3"/>
    <x v="0"/>
    <n v="0"/>
    <x v="0"/>
    <n v="1"/>
    <x v="1"/>
    <n v="0"/>
    <x v="1"/>
  </r>
  <r>
    <x v="64"/>
    <n v="101"/>
    <x v="1"/>
    <x v="1"/>
    <x v="0"/>
    <n v="1"/>
    <x v="2"/>
    <x v="2"/>
    <n v="1"/>
    <x v="2"/>
    <n v="2"/>
    <x v="0"/>
    <n v="0"/>
    <x v="0"/>
  </r>
  <r>
    <x v="65"/>
    <n v="101"/>
    <x v="0"/>
    <x v="0"/>
    <x v="5"/>
    <n v="1"/>
    <x v="2"/>
    <x v="2"/>
    <n v="2"/>
    <x v="2"/>
    <n v="0"/>
    <x v="0"/>
    <n v="1"/>
    <x v="2"/>
  </r>
  <r>
    <x v="66"/>
    <n v="101"/>
    <x v="1"/>
    <x v="1"/>
    <x v="0"/>
    <n v="1"/>
    <x v="1"/>
    <x v="0"/>
    <n v="0"/>
    <x v="0"/>
    <n v="0"/>
    <x v="1"/>
    <n v="0"/>
    <x v="4"/>
  </r>
  <r>
    <x v="67"/>
    <n v="101"/>
    <x v="0"/>
    <x v="0"/>
    <x v="5"/>
    <n v="1"/>
    <x v="2"/>
    <x v="0"/>
    <n v="0"/>
    <x v="0"/>
    <n v="0"/>
    <x v="1"/>
    <n v="0"/>
    <x v="2"/>
  </r>
  <r>
    <x v="68"/>
    <n v="101"/>
    <x v="0"/>
    <x v="0"/>
    <x v="0"/>
    <n v="1"/>
    <x v="1"/>
    <x v="0"/>
    <n v="0"/>
    <x v="0"/>
    <n v="0"/>
    <x v="1"/>
    <n v="0"/>
    <x v="1"/>
  </r>
  <r>
    <x v="69"/>
    <n v="101"/>
    <x v="1"/>
    <x v="1"/>
    <x v="5"/>
    <n v="1"/>
    <x v="1"/>
    <x v="1"/>
    <n v="0"/>
    <x v="0"/>
    <n v="0"/>
    <x v="1"/>
    <n v="0"/>
    <x v="0"/>
  </r>
  <r>
    <x v="70"/>
    <n v="101"/>
    <x v="1"/>
    <x v="1"/>
    <x v="0"/>
    <n v="1"/>
    <x v="2"/>
    <x v="2"/>
    <n v="1"/>
    <x v="2"/>
    <n v="1"/>
    <x v="1"/>
    <n v="0"/>
    <x v="2"/>
  </r>
  <r>
    <x v="71"/>
    <n v="101"/>
    <x v="1"/>
    <x v="1"/>
    <x v="3"/>
    <n v="1"/>
    <x v="0"/>
    <x v="0"/>
    <n v="0"/>
    <x v="1"/>
    <n v="0"/>
    <x v="1"/>
    <n v="0"/>
    <x v="2"/>
  </r>
  <r>
    <x v="72"/>
    <n v="101"/>
    <x v="0"/>
    <x v="0"/>
    <x v="4"/>
    <n v="0"/>
    <x v="0"/>
    <x v="2"/>
    <n v="1"/>
    <x v="2"/>
    <n v="1"/>
    <x v="1"/>
    <n v="0"/>
    <x v="1"/>
  </r>
  <r>
    <x v="73"/>
    <n v="101"/>
    <x v="1"/>
    <x v="1"/>
    <x v="0"/>
    <n v="1"/>
    <x v="1"/>
    <x v="2"/>
    <n v="0"/>
    <x v="2"/>
    <n v="1"/>
    <x v="1"/>
    <n v="0"/>
    <x v="0"/>
  </r>
  <r>
    <x v="74"/>
    <n v="101"/>
    <x v="0"/>
    <x v="0"/>
    <x v="0"/>
    <n v="1"/>
    <x v="2"/>
    <x v="1"/>
    <n v="0"/>
    <x v="0"/>
    <n v="0"/>
    <x v="1"/>
    <n v="0"/>
    <x v="3"/>
  </r>
  <r>
    <x v="75"/>
    <n v="101"/>
    <x v="1"/>
    <x v="1"/>
    <x v="2"/>
    <n v="1"/>
    <x v="1"/>
    <x v="0"/>
    <n v="1"/>
    <x v="1"/>
    <n v="1"/>
    <x v="1"/>
    <n v="1"/>
    <x v="0"/>
  </r>
  <r>
    <x v="76"/>
    <n v="101"/>
    <x v="1"/>
    <x v="1"/>
    <x v="5"/>
    <n v="1"/>
    <x v="1"/>
    <x v="2"/>
    <n v="0"/>
    <x v="2"/>
    <n v="0"/>
    <x v="1"/>
    <n v="99"/>
    <x v="2"/>
  </r>
  <r>
    <x v="77"/>
    <n v="101"/>
    <x v="0"/>
    <x v="0"/>
    <x v="5"/>
    <n v="1"/>
    <x v="2"/>
    <x v="0"/>
    <n v="0"/>
    <x v="0"/>
    <n v="0"/>
    <x v="1"/>
    <n v="1"/>
    <x v="2"/>
  </r>
  <r>
    <x v="78"/>
    <n v="101"/>
    <x v="1"/>
    <x v="1"/>
    <x v="1"/>
    <n v="1"/>
    <x v="1"/>
    <x v="2"/>
    <n v="1"/>
    <x v="2"/>
    <n v="1"/>
    <x v="1"/>
    <n v="0"/>
    <x v="2"/>
  </r>
  <r>
    <x v="79"/>
    <n v="101"/>
    <x v="1"/>
    <x v="1"/>
    <x v="0"/>
    <n v="1"/>
    <x v="3"/>
    <x v="0"/>
    <n v="0"/>
    <x v="0"/>
    <n v="0"/>
    <x v="1"/>
    <n v="0"/>
    <x v="1"/>
  </r>
  <r>
    <x v="80"/>
    <n v="101"/>
    <x v="0"/>
    <x v="0"/>
    <x v="6"/>
    <n v="0"/>
    <x v="2"/>
    <x v="2"/>
    <n v="0"/>
    <x v="0"/>
    <n v="0"/>
    <x v="1"/>
    <n v="0"/>
    <x v="1"/>
  </r>
  <r>
    <x v="81"/>
    <n v="101"/>
    <x v="1"/>
    <x v="1"/>
    <x v="5"/>
    <n v="1"/>
    <x v="2"/>
    <x v="2"/>
    <n v="2"/>
    <x v="1"/>
    <n v="2"/>
    <x v="0"/>
    <n v="1"/>
    <x v="2"/>
  </r>
  <r>
    <x v="82"/>
    <n v="101"/>
    <x v="0"/>
    <x v="0"/>
    <x v="2"/>
    <n v="1"/>
    <x v="2"/>
    <x v="0"/>
    <n v="0"/>
    <x v="1"/>
    <n v="0"/>
    <x v="1"/>
    <n v="0"/>
    <x v="1"/>
  </r>
  <r>
    <x v="83"/>
    <n v="101"/>
    <x v="1"/>
    <x v="1"/>
    <x v="3"/>
    <n v="1"/>
    <x v="3"/>
    <x v="2"/>
    <n v="0"/>
    <x v="2"/>
    <n v="1"/>
    <x v="2"/>
    <n v="0"/>
    <x v="2"/>
  </r>
  <r>
    <x v="84"/>
    <n v="101"/>
    <x v="1"/>
    <x v="1"/>
    <x v="5"/>
    <n v="1"/>
    <x v="2"/>
    <x v="0"/>
    <n v="0"/>
    <x v="0"/>
    <n v="0"/>
    <x v="0"/>
    <n v="99"/>
    <x v="2"/>
  </r>
  <r>
    <x v="85"/>
    <n v="101"/>
    <x v="1"/>
    <x v="1"/>
    <x v="5"/>
    <n v="1"/>
    <x v="2"/>
    <x v="0"/>
    <n v="0"/>
    <x v="0"/>
    <n v="0"/>
    <x v="1"/>
    <n v="0"/>
    <x v="1"/>
  </r>
  <r>
    <x v="86"/>
    <n v="101"/>
    <x v="1"/>
    <x v="1"/>
    <x v="1"/>
    <n v="1"/>
    <x v="1"/>
    <x v="1"/>
    <n v="0"/>
    <x v="0"/>
    <n v="0"/>
    <x v="1"/>
    <n v="0"/>
    <x v="2"/>
  </r>
  <r>
    <x v="87"/>
    <n v="101"/>
    <x v="1"/>
    <x v="1"/>
    <x v="0"/>
    <n v="1"/>
    <x v="1"/>
    <x v="0"/>
    <n v="0"/>
    <x v="0"/>
    <n v="0"/>
    <x v="1"/>
    <n v="0"/>
    <x v="2"/>
  </r>
  <r>
    <x v="88"/>
    <n v="101"/>
    <x v="0"/>
    <x v="0"/>
    <x v="0"/>
    <n v="1"/>
    <x v="3"/>
    <x v="0"/>
    <n v="0"/>
    <x v="0"/>
    <n v="0"/>
    <x v="1"/>
    <n v="2"/>
    <x v="4"/>
  </r>
  <r>
    <x v="89"/>
    <n v="101"/>
    <x v="1"/>
    <x v="1"/>
    <x v="2"/>
    <n v="1"/>
    <x v="1"/>
    <x v="0"/>
    <n v="0"/>
    <x v="0"/>
    <n v="0"/>
    <x v="1"/>
    <n v="0"/>
    <x v="1"/>
  </r>
  <r>
    <x v="90"/>
    <n v="101"/>
    <x v="0"/>
    <x v="0"/>
    <x v="5"/>
    <n v="1"/>
    <x v="1"/>
    <x v="0"/>
    <n v="0"/>
    <x v="0"/>
    <n v="0"/>
    <x v="1"/>
    <n v="1"/>
    <x v="1"/>
  </r>
  <r>
    <x v="91"/>
    <n v="101"/>
    <x v="0"/>
    <x v="0"/>
    <x v="0"/>
    <n v="1"/>
    <x v="1"/>
    <x v="0"/>
    <n v="0"/>
    <x v="0"/>
    <n v="0"/>
    <x v="1"/>
    <n v="0"/>
    <x v="0"/>
  </r>
  <r>
    <x v="92"/>
    <n v="101"/>
    <x v="1"/>
    <x v="1"/>
    <x v="2"/>
    <n v="1"/>
    <x v="3"/>
    <x v="1"/>
    <n v="0"/>
    <x v="0"/>
    <n v="0"/>
    <x v="1"/>
    <n v="1"/>
    <x v="3"/>
  </r>
  <r>
    <x v="93"/>
    <n v="101"/>
    <x v="1"/>
    <x v="1"/>
    <x v="5"/>
    <n v="1"/>
    <x v="0"/>
    <x v="0"/>
    <n v="0"/>
    <x v="0"/>
    <n v="0"/>
    <x v="1"/>
    <n v="0"/>
    <x v="3"/>
  </r>
  <r>
    <x v="94"/>
    <n v="101"/>
    <x v="0"/>
    <x v="0"/>
    <x v="2"/>
    <n v="1"/>
    <x v="1"/>
    <x v="0"/>
    <n v="0"/>
    <x v="0"/>
    <n v="0"/>
    <x v="1"/>
    <n v="0"/>
    <x v="2"/>
  </r>
  <r>
    <x v="95"/>
    <n v="101"/>
    <x v="1"/>
    <x v="1"/>
    <x v="2"/>
    <n v="1"/>
    <x v="3"/>
    <x v="0"/>
    <n v="0"/>
    <x v="0"/>
    <n v="0"/>
    <x v="1"/>
    <n v="0"/>
    <x v="4"/>
  </r>
  <r>
    <x v="96"/>
    <n v="101"/>
    <x v="0"/>
    <x v="0"/>
    <x v="2"/>
    <n v="1"/>
    <x v="2"/>
    <x v="0"/>
    <n v="0"/>
    <x v="0"/>
    <n v="0"/>
    <x v="1"/>
    <n v="2"/>
    <x v="0"/>
  </r>
  <r>
    <x v="97"/>
    <n v="101"/>
    <x v="0"/>
    <x v="0"/>
    <x v="2"/>
    <n v="1"/>
    <x v="2"/>
    <x v="0"/>
    <n v="0"/>
    <x v="0"/>
    <n v="0"/>
    <x v="0"/>
    <n v="1"/>
    <x v="2"/>
  </r>
  <r>
    <x v="98"/>
    <n v="101"/>
    <x v="0"/>
    <x v="0"/>
    <x v="2"/>
    <n v="1"/>
    <x v="3"/>
    <x v="0"/>
    <n v="0"/>
    <x v="0"/>
    <n v="1"/>
    <x v="1"/>
    <n v="1"/>
    <x v="2"/>
  </r>
  <r>
    <x v="99"/>
    <n v="101"/>
    <x v="1"/>
    <x v="1"/>
    <x v="2"/>
    <n v="1"/>
    <x v="1"/>
    <x v="0"/>
    <n v="0"/>
    <x v="0"/>
    <n v="0"/>
    <x v="1"/>
    <n v="0"/>
    <x v="1"/>
  </r>
  <r>
    <x v="100"/>
    <n v="101"/>
    <x v="1"/>
    <x v="1"/>
    <x v="1"/>
    <n v="1"/>
    <x v="3"/>
    <x v="2"/>
    <n v="0"/>
    <x v="2"/>
    <n v="0"/>
    <x v="1"/>
    <n v="0"/>
    <x v="1"/>
  </r>
  <r>
    <x v="101"/>
    <n v="101"/>
    <x v="1"/>
    <x v="1"/>
    <x v="1"/>
    <n v="1"/>
    <x v="2"/>
    <x v="2"/>
    <n v="0"/>
    <x v="2"/>
    <n v="1"/>
    <x v="1"/>
    <n v="0"/>
    <x v="1"/>
  </r>
  <r>
    <x v="102"/>
    <n v="101"/>
    <x v="0"/>
    <x v="0"/>
    <x v="1"/>
    <n v="1"/>
    <x v="2"/>
    <x v="1"/>
    <n v="0"/>
    <x v="0"/>
    <n v="0"/>
    <x v="1"/>
    <n v="1"/>
    <x v="1"/>
  </r>
  <r>
    <x v="103"/>
    <n v="101"/>
    <x v="1"/>
    <x v="1"/>
    <x v="1"/>
    <n v="1"/>
    <x v="1"/>
    <x v="2"/>
    <n v="0"/>
    <x v="2"/>
    <n v="2"/>
    <x v="1"/>
    <n v="0"/>
    <x v="0"/>
  </r>
  <r>
    <x v="104"/>
    <n v="101"/>
    <x v="0"/>
    <x v="0"/>
    <x v="2"/>
    <n v="1"/>
    <x v="1"/>
    <x v="0"/>
    <n v="0"/>
    <x v="0"/>
    <n v="0"/>
    <x v="0"/>
    <n v="1"/>
    <x v="1"/>
  </r>
  <r>
    <x v="105"/>
    <n v="101"/>
    <x v="1"/>
    <x v="1"/>
    <x v="5"/>
    <n v="1"/>
    <x v="2"/>
    <x v="0"/>
    <n v="0"/>
    <x v="0"/>
    <n v="0"/>
    <x v="1"/>
    <n v="99"/>
    <x v="2"/>
  </r>
  <r>
    <x v="106"/>
    <n v="101"/>
    <x v="0"/>
    <x v="0"/>
    <x v="5"/>
    <n v="1"/>
    <x v="1"/>
    <x v="0"/>
    <n v="0"/>
    <x v="0"/>
    <n v="0"/>
    <x v="1"/>
    <n v="2"/>
    <x v="0"/>
  </r>
  <r>
    <x v="107"/>
    <n v="101"/>
    <x v="0"/>
    <x v="0"/>
    <x v="7"/>
    <n v="1"/>
    <x v="0"/>
    <x v="2"/>
    <n v="0"/>
    <x v="2"/>
    <n v="0"/>
    <x v="0"/>
    <n v="1"/>
    <x v="0"/>
  </r>
  <r>
    <x v="108"/>
    <n v="101"/>
    <x v="0"/>
    <x v="0"/>
    <x v="1"/>
    <n v="1"/>
    <x v="2"/>
    <x v="2"/>
    <n v="2"/>
    <x v="0"/>
    <n v="2"/>
    <x v="2"/>
    <n v="2"/>
    <x v="1"/>
  </r>
  <r>
    <x v="109"/>
    <n v="101"/>
    <x v="1"/>
    <x v="1"/>
    <x v="0"/>
    <n v="1"/>
    <x v="1"/>
    <x v="2"/>
    <n v="0"/>
    <x v="0"/>
    <n v="0"/>
    <x v="1"/>
    <n v="0"/>
    <x v="1"/>
  </r>
  <r>
    <x v="110"/>
    <n v="101"/>
    <x v="0"/>
    <x v="0"/>
    <x v="0"/>
    <n v="1"/>
    <x v="3"/>
    <x v="0"/>
    <n v="0"/>
    <x v="0"/>
    <n v="0"/>
    <x v="1"/>
    <n v="0"/>
    <x v="3"/>
  </r>
  <r>
    <x v="111"/>
    <n v="101"/>
    <x v="0"/>
    <x v="0"/>
    <x v="1"/>
    <n v="1"/>
    <x v="2"/>
    <x v="1"/>
    <n v="1"/>
    <x v="0"/>
    <n v="0"/>
    <x v="0"/>
    <n v="1"/>
    <x v="2"/>
  </r>
  <r>
    <x v="112"/>
    <n v="101"/>
    <x v="1"/>
    <x v="1"/>
    <x v="1"/>
    <n v="1"/>
    <x v="0"/>
    <x v="3"/>
    <n v="99"/>
    <x v="3"/>
    <n v="99"/>
    <x v="3"/>
    <n v="99"/>
    <x v="2"/>
  </r>
  <r>
    <x v="113"/>
    <n v="101"/>
    <x v="0"/>
    <x v="0"/>
    <x v="0"/>
    <n v="1"/>
    <x v="1"/>
    <x v="0"/>
    <n v="0"/>
    <x v="0"/>
    <n v="0"/>
    <x v="1"/>
    <n v="1"/>
    <x v="4"/>
  </r>
  <r>
    <x v="114"/>
    <n v="101"/>
    <x v="0"/>
    <x v="0"/>
    <x v="0"/>
    <n v="1"/>
    <x v="1"/>
    <x v="0"/>
    <n v="0"/>
    <x v="0"/>
    <n v="0"/>
    <x v="1"/>
    <n v="0"/>
    <x v="1"/>
  </r>
  <r>
    <x v="115"/>
    <n v="101"/>
    <x v="0"/>
    <x v="0"/>
    <x v="1"/>
    <n v="1"/>
    <x v="2"/>
    <x v="2"/>
    <n v="2"/>
    <x v="1"/>
    <n v="0"/>
    <x v="1"/>
    <n v="1"/>
    <x v="1"/>
  </r>
  <r>
    <x v="116"/>
    <n v="101"/>
    <x v="1"/>
    <x v="1"/>
    <x v="2"/>
    <n v="1"/>
    <x v="1"/>
    <x v="0"/>
    <n v="0"/>
    <x v="1"/>
    <n v="0"/>
    <x v="0"/>
    <n v="0"/>
    <x v="3"/>
  </r>
  <r>
    <x v="117"/>
    <n v="101"/>
    <x v="0"/>
    <x v="0"/>
    <x v="2"/>
    <n v="1"/>
    <x v="3"/>
    <x v="0"/>
    <n v="1"/>
    <x v="0"/>
    <n v="0"/>
    <x v="0"/>
    <n v="0"/>
    <x v="1"/>
  </r>
  <r>
    <x v="118"/>
    <n v="101"/>
    <x v="0"/>
    <x v="0"/>
    <x v="2"/>
    <n v="1"/>
    <x v="3"/>
    <x v="0"/>
    <n v="0"/>
    <x v="0"/>
    <n v="0"/>
    <x v="1"/>
    <n v="0"/>
    <x v="2"/>
  </r>
  <r>
    <x v="119"/>
    <n v="101"/>
    <x v="0"/>
    <x v="0"/>
    <x v="0"/>
    <n v="1"/>
    <x v="1"/>
    <x v="0"/>
    <n v="0"/>
    <x v="0"/>
    <n v="0"/>
    <x v="0"/>
    <n v="0"/>
    <x v="2"/>
  </r>
  <r>
    <x v="120"/>
    <n v="101"/>
    <x v="0"/>
    <x v="0"/>
    <x v="0"/>
    <n v="1"/>
    <x v="3"/>
    <x v="0"/>
    <n v="0"/>
    <x v="0"/>
    <n v="0"/>
    <x v="1"/>
    <n v="0"/>
    <x v="2"/>
  </r>
  <r>
    <x v="121"/>
    <n v="101"/>
    <x v="0"/>
    <x v="0"/>
    <x v="5"/>
    <n v="1"/>
    <x v="1"/>
    <x v="1"/>
    <n v="0"/>
    <x v="0"/>
    <n v="0"/>
    <x v="1"/>
    <n v="1"/>
    <x v="1"/>
  </r>
  <r>
    <x v="122"/>
    <n v="101"/>
    <x v="0"/>
    <x v="0"/>
    <x v="0"/>
    <n v="1"/>
    <x v="2"/>
    <x v="1"/>
    <n v="0"/>
    <x v="0"/>
    <n v="0"/>
    <x v="1"/>
    <n v="0"/>
    <x v="2"/>
  </r>
  <r>
    <x v="123"/>
    <n v="101"/>
    <x v="0"/>
    <x v="0"/>
    <x v="0"/>
    <n v="1"/>
    <x v="3"/>
    <x v="0"/>
    <n v="0"/>
    <x v="2"/>
    <n v="0"/>
    <x v="1"/>
    <n v="0"/>
    <x v="1"/>
  </r>
  <r>
    <x v="124"/>
    <n v="101"/>
    <x v="1"/>
    <x v="1"/>
    <x v="5"/>
    <n v="1"/>
    <x v="3"/>
    <x v="0"/>
    <n v="0"/>
    <x v="1"/>
    <n v="0"/>
    <x v="1"/>
    <n v="0"/>
    <x v="2"/>
  </r>
  <r>
    <x v="125"/>
    <n v="101"/>
    <x v="0"/>
    <x v="0"/>
    <x v="1"/>
    <n v="1"/>
    <x v="1"/>
    <x v="0"/>
    <n v="0"/>
    <x v="0"/>
    <n v="0"/>
    <x v="0"/>
    <n v="1"/>
    <x v="0"/>
  </r>
  <r>
    <x v="126"/>
    <n v="101"/>
    <x v="0"/>
    <x v="0"/>
    <x v="5"/>
    <n v="1"/>
    <x v="3"/>
    <x v="0"/>
    <n v="0"/>
    <x v="0"/>
    <n v="0"/>
    <x v="1"/>
    <n v="0"/>
    <x v="4"/>
  </r>
  <r>
    <x v="127"/>
    <n v="101"/>
    <x v="0"/>
    <x v="0"/>
    <x v="3"/>
    <n v="1"/>
    <x v="2"/>
    <x v="1"/>
    <n v="1"/>
    <x v="0"/>
    <n v="0"/>
    <x v="1"/>
    <n v="1"/>
    <x v="2"/>
  </r>
  <r>
    <x v="128"/>
    <n v="101"/>
    <x v="1"/>
    <x v="1"/>
    <x v="4"/>
    <n v="0"/>
    <x v="2"/>
    <x v="2"/>
    <n v="0"/>
    <x v="0"/>
    <n v="0"/>
    <x v="1"/>
    <n v="0"/>
    <x v="2"/>
  </r>
  <r>
    <x v="129"/>
    <n v="101"/>
    <x v="0"/>
    <x v="0"/>
    <x v="1"/>
    <n v="1"/>
    <x v="0"/>
    <x v="0"/>
    <n v="0"/>
    <x v="0"/>
    <n v="0"/>
    <x v="1"/>
    <n v="0"/>
    <x v="1"/>
  </r>
  <r>
    <x v="130"/>
    <n v="101"/>
    <x v="1"/>
    <x v="1"/>
    <x v="2"/>
    <n v="1"/>
    <x v="2"/>
    <x v="0"/>
    <n v="0"/>
    <x v="0"/>
    <n v="0"/>
    <x v="1"/>
    <n v="0"/>
    <x v="2"/>
  </r>
  <r>
    <x v="131"/>
    <n v="101"/>
    <x v="0"/>
    <x v="0"/>
    <x v="2"/>
    <n v="1"/>
    <x v="2"/>
    <x v="0"/>
    <n v="0"/>
    <x v="0"/>
    <n v="0"/>
    <x v="1"/>
    <n v="2"/>
    <x v="2"/>
  </r>
  <r>
    <x v="132"/>
    <n v="101"/>
    <x v="0"/>
    <x v="0"/>
    <x v="4"/>
    <n v="0"/>
    <x v="2"/>
    <x v="1"/>
    <n v="0"/>
    <x v="0"/>
    <n v="0"/>
    <x v="1"/>
    <n v="0"/>
    <x v="1"/>
  </r>
  <r>
    <x v="133"/>
    <n v="101"/>
    <x v="0"/>
    <x v="0"/>
    <x v="5"/>
    <n v="1"/>
    <x v="1"/>
    <x v="1"/>
    <n v="1"/>
    <x v="0"/>
    <n v="0"/>
    <x v="1"/>
    <n v="0"/>
    <x v="4"/>
  </r>
  <r>
    <x v="134"/>
    <n v="101"/>
    <x v="1"/>
    <x v="1"/>
    <x v="2"/>
    <n v="1"/>
    <x v="3"/>
    <x v="0"/>
    <n v="0"/>
    <x v="2"/>
    <n v="0"/>
    <x v="1"/>
    <n v="0"/>
    <x v="2"/>
  </r>
  <r>
    <x v="135"/>
    <n v="101"/>
    <x v="1"/>
    <x v="1"/>
    <x v="0"/>
    <n v="1"/>
    <x v="2"/>
    <x v="1"/>
    <n v="1"/>
    <x v="2"/>
    <n v="2"/>
    <x v="1"/>
    <n v="0"/>
    <x v="2"/>
  </r>
  <r>
    <x v="136"/>
    <n v="101"/>
    <x v="1"/>
    <x v="1"/>
    <x v="0"/>
    <n v="1"/>
    <x v="1"/>
    <x v="0"/>
    <n v="0"/>
    <x v="0"/>
    <n v="0"/>
    <x v="0"/>
    <n v="1"/>
    <x v="2"/>
  </r>
  <r>
    <x v="137"/>
    <n v="101"/>
    <x v="0"/>
    <x v="0"/>
    <x v="2"/>
    <n v="1"/>
    <x v="3"/>
    <x v="0"/>
    <n v="0"/>
    <x v="0"/>
    <n v="0"/>
    <x v="1"/>
    <n v="0"/>
    <x v="2"/>
  </r>
  <r>
    <x v="138"/>
    <n v="101"/>
    <x v="0"/>
    <x v="0"/>
    <x v="3"/>
    <n v="1"/>
    <x v="2"/>
    <x v="0"/>
    <n v="0"/>
    <x v="0"/>
    <n v="0"/>
    <x v="1"/>
    <n v="2"/>
    <x v="3"/>
  </r>
  <r>
    <x v="139"/>
    <n v="101"/>
    <x v="0"/>
    <x v="0"/>
    <x v="2"/>
    <n v="1"/>
    <x v="2"/>
    <x v="2"/>
    <n v="0"/>
    <x v="0"/>
    <n v="0"/>
    <x v="2"/>
    <n v="2"/>
    <x v="2"/>
  </r>
  <r>
    <x v="140"/>
    <n v="101"/>
    <x v="0"/>
    <x v="0"/>
    <x v="2"/>
    <n v="1"/>
    <x v="2"/>
    <x v="0"/>
    <n v="0"/>
    <x v="0"/>
    <n v="0"/>
    <x v="1"/>
    <n v="0"/>
    <x v="1"/>
  </r>
  <r>
    <x v="141"/>
    <n v="101"/>
    <x v="1"/>
    <x v="1"/>
    <x v="5"/>
    <n v="1"/>
    <x v="1"/>
    <x v="0"/>
    <n v="0"/>
    <x v="0"/>
    <n v="0"/>
    <x v="1"/>
    <n v="0"/>
    <x v="2"/>
  </r>
  <r>
    <x v="142"/>
    <n v="101"/>
    <x v="1"/>
    <x v="1"/>
    <x v="0"/>
    <n v="1"/>
    <x v="2"/>
    <x v="1"/>
    <n v="0"/>
    <x v="0"/>
    <n v="0"/>
    <x v="1"/>
    <n v="0"/>
    <x v="1"/>
  </r>
  <r>
    <x v="143"/>
    <n v="101"/>
    <x v="0"/>
    <x v="0"/>
    <x v="0"/>
    <n v="1"/>
    <x v="3"/>
    <x v="0"/>
    <n v="1"/>
    <x v="0"/>
    <n v="0"/>
    <x v="1"/>
    <n v="1"/>
    <x v="0"/>
  </r>
  <r>
    <x v="144"/>
    <n v="101"/>
    <x v="1"/>
    <x v="1"/>
    <x v="0"/>
    <n v="1"/>
    <x v="3"/>
    <x v="0"/>
    <n v="0"/>
    <x v="0"/>
    <n v="0"/>
    <x v="1"/>
    <n v="1"/>
    <x v="0"/>
  </r>
  <r>
    <x v="145"/>
    <n v="101"/>
    <x v="0"/>
    <x v="0"/>
    <x v="5"/>
    <n v="1"/>
    <x v="1"/>
    <x v="0"/>
    <n v="0"/>
    <x v="0"/>
    <n v="0"/>
    <x v="1"/>
    <n v="0"/>
    <x v="4"/>
  </r>
  <r>
    <x v="146"/>
    <n v="101"/>
    <x v="1"/>
    <x v="1"/>
    <x v="5"/>
    <n v="1"/>
    <x v="2"/>
    <x v="0"/>
    <n v="2"/>
    <x v="2"/>
    <n v="1"/>
    <x v="0"/>
    <n v="0"/>
    <x v="2"/>
  </r>
  <r>
    <x v="147"/>
    <n v="101"/>
    <x v="0"/>
    <x v="0"/>
    <x v="4"/>
    <n v="0"/>
    <x v="1"/>
    <x v="0"/>
    <n v="0"/>
    <x v="0"/>
    <n v="0"/>
    <x v="1"/>
    <n v="0"/>
    <x v="1"/>
  </r>
  <r>
    <x v="148"/>
    <n v="101"/>
    <x v="1"/>
    <x v="1"/>
    <x v="0"/>
    <n v="1"/>
    <x v="1"/>
    <x v="2"/>
    <n v="1"/>
    <x v="2"/>
    <n v="1"/>
    <x v="0"/>
    <n v="1"/>
    <x v="2"/>
  </r>
  <r>
    <x v="149"/>
    <n v="101"/>
    <x v="0"/>
    <x v="0"/>
    <x v="5"/>
    <n v="1"/>
    <x v="2"/>
    <x v="0"/>
    <n v="0"/>
    <x v="2"/>
    <n v="0"/>
    <x v="1"/>
    <n v="0"/>
    <x v="1"/>
  </r>
  <r>
    <x v="150"/>
    <n v="101"/>
    <x v="0"/>
    <x v="0"/>
    <x v="1"/>
    <n v="1"/>
    <x v="2"/>
    <x v="0"/>
    <n v="0"/>
    <x v="0"/>
    <n v="0"/>
    <x v="1"/>
    <n v="0"/>
    <x v="3"/>
  </r>
  <r>
    <x v="151"/>
    <n v="101"/>
    <x v="1"/>
    <x v="1"/>
    <x v="0"/>
    <n v="1"/>
    <x v="2"/>
    <x v="1"/>
    <n v="0"/>
    <x v="0"/>
    <n v="0"/>
    <x v="1"/>
    <n v="0"/>
    <x v="2"/>
  </r>
  <r>
    <x v="152"/>
    <n v="101"/>
    <x v="0"/>
    <x v="0"/>
    <x v="5"/>
    <n v="1"/>
    <x v="2"/>
    <x v="0"/>
    <n v="2"/>
    <x v="0"/>
    <n v="1"/>
    <x v="0"/>
    <n v="1"/>
    <x v="2"/>
  </r>
  <r>
    <x v="153"/>
    <n v="101"/>
    <x v="0"/>
    <x v="0"/>
    <x v="1"/>
    <n v="1"/>
    <x v="1"/>
    <x v="0"/>
    <n v="0"/>
    <x v="0"/>
    <n v="0"/>
    <x v="1"/>
    <n v="1"/>
    <x v="0"/>
  </r>
  <r>
    <x v="154"/>
    <n v="101"/>
    <x v="1"/>
    <x v="1"/>
    <x v="3"/>
    <n v="1"/>
    <x v="1"/>
    <x v="0"/>
    <n v="0"/>
    <x v="0"/>
    <n v="0"/>
    <x v="1"/>
    <n v="99"/>
    <x v="0"/>
  </r>
  <r>
    <x v="155"/>
    <n v="101"/>
    <x v="1"/>
    <x v="1"/>
    <x v="1"/>
    <n v="1"/>
    <x v="0"/>
    <x v="1"/>
    <n v="0"/>
    <x v="0"/>
    <n v="0"/>
    <x v="1"/>
    <n v="0"/>
    <x v="2"/>
  </r>
  <r>
    <x v="156"/>
    <n v="101"/>
    <x v="1"/>
    <x v="1"/>
    <x v="0"/>
    <n v="1"/>
    <x v="1"/>
    <x v="0"/>
    <n v="0"/>
    <x v="0"/>
    <n v="0"/>
    <x v="1"/>
    <n v="1"/>
    <x v="5"/>
  </r>
  <r>
    <x v="157"/>
    <n v="101"/>
    <x v="1"/>
    <x v="1"/>
    <x v="2"/>
    <n v="1"/>
    <x v="0"/>
    <x v="0"/>
    <n v="0"/>
    <x v="0"/>
    <n v="0"/>
    <x v="1"/>
    <n v="0"/>
    <x v="2"/>
  </r>
  <r>
    <x v="158"/>
    <n v="101"/>
    <x v="1"/>
    <x v="1"/>
    <x v="5"/>
    <n v="1"/>
    <x v="3"/>
    <x v="0"/>
    <n v="0"/>
    <x v="0"/>
    <n v="0"/>
    <x v="1"/>
    <n v="1"/>
    <x v="2"/>
  </r>
  <r>
    <x v="159"/>
    <n v="101"/>
    <x v="1"/>
    <x v="1"/>
    <x v="5"/>
    <n v="1"/>
    <x v="1"/>
    <x v="1"/>
    <n v="1"/>
    <x v="2"/>
    <n v="1"/>
    <x v="1"/>
    <n v="1"/>
    <x v="2"/>
  </r>
  <r>
    <x v="160"/>
    <n v="101"/>
    <x v="1"/>
    <x v="1"/>
    <x v="1"/>
    <n v="1"/>
    <x v="1"/>
    <x v="1"/>
    <n v="0"/>
    <x v="0"/>
    <n v="0"/>
    <x v="1"/>
    <n v="1"/>
    <x v="2"/>
  </r>
  <r>
    <x v="161"/>
    <n v="101"/>
    <x v="0"/>
    <x v="0"/>
    <x v="1"/>
    <n v="1"/>
    <x v="2"/>
    <x v="2"/>
    <n v="0"/>
    <x v="0"/>
    <n v="0"/>
    <x v="1"/>
    <n v="1"/>
    <x v="3"/>
  </r>
  <r>
    <x v="162"/>
    <n v="101"/>
    <x v="1"/>
    <x v="1"/>
    <x v="2"/>
    <n v="1"/>
    <x v="2"/>
    <x v="1"/>
    <n v="0"/>
    <x v="0"/>
    <n v="0"/>
    <x v="1"/>
    <n v="0"/>
    <x v="2"/>
  </r>
  <r>
    <x v="163"/>
    <n v="101"/>
    <x v="0"/>
    <x v="0"/>
    <x v="5"/>
    <n v="1"/>
    <x v="2"/>
    <x v="1"/>
    <n v="0"/>
    <x v="0"/>
    <n v="0"/>
    <x v="1"/>
    <n v="2"/>
    <x v="2"/>
  </r>
  <r>
    <x v="164"/>
    <n v="101"/>
    <x v="1"/>
    <x v="1"/>
    <x v="5"/>
    <n v="1"/>
    <x v="3"/>
    <x v="1"/>
    <n v="0"/>
    <x v="0"/>
    <n v="0"/>
    <x v="1"/>
    <n v="0"/>
    <x v="3"/>
  </r>
  <r>
    <x v="165"/>
    <n v="101"/>
    <x v="1"/>
    <x v="1"/>
    <x v="2"/>
    <n v="1"/>
    <x v="3"/>
    <x v="0"/>
    <n v="0"/>
    <x v="0"/>
    <n v="0"/>
    <x v="0"/>
    <n v="2"/>
    <x v="2"/>
  </r>
  <r>
    <x v="166"/>
    <n v="101"/>
    <x v="1"/>
    <x v="1"/>
    <x v="2"/>
    <n v="1"/>
    <x v="3"/>
    <x v="1"/>
    <n v="1"/>
    <x v="0"/>
    <n v="0"/>
    <x v="1"/>
    <n v="0"/>
    <x v="2"/>
  </r>
  <r>
    <x v="167"/>
    <n v="101"/>
    <x v="1"/>
    <x v="1"/>
    <x v="7"/>
    <n v="1"/>
    <x v="1"/>
    <x v="2"/>
    <n v="0"/>
    <x v="0"/>
    <n v="1"/>
    <x v="1"/>
    <n v="0"/>
    <x v="0"/>
  </r>
  <r>
    <x v="168"/>
    <n v="101"/>
    <x v="1"/>
    <x v="1"/>
    <x v="1"/>
    <n v="1"/>
    <x v="1"/>
    <x v="2"/>
    <n v="1"/>
    <x v="2"/>
    <n v="1"/>
    <x v="0"/>
    <n v="0"/>
    <x v="2"/>
  </r>
  <r>
    <x v="169"/>
    <n v="101"/>
    <x v="1"/>
    <x v="1"/>
    <x v="2"/>
    <n v="1"/>
    <x v="2"/>
    <x v="1"/>
    <n v="0"/>
    <x v="0"/>
    <n v="0"/>
    <x v="1"/>
    <n v="0"/>
    <x v="1"/>
  </r>
  <r>
    <x v="170"/>
    <n v="101"/>
    <x v="0"/>
    <x v="0"/>
    <x v="5"/>
    <n v="1"/>
    <x v="2"/>
    <x v="0"/>
    <n v="0"/>
    <x v="0"/>
    <n v="0"/>
    <x v="0"/>
    <n v="0"/>
    <x v="2"/>
  </r>
  <r>
    <x v="171"/>
    <n v="101"/>
    <x v="1"/>
    <x v="1"/>
    <x v="6"/>
    <n v="0"/>
    <x v="3"/>
    <x v="1"/>
    <n v="1"/>
    <x v="0"/>
    <n v="0"/>
    <x v="1"/>
    <n v="0"/>
    <x v="1"/>
  </r>
  <r>
    <x v="172"/>
    <n v="101"/>
    <x v="1"/>
    <x v="1"/>
    <x v="2"/>
    <n v="1"/>
    <x v="1"/>
    <x v="1"/>
    <n v="0"/>
    <x v="0"/>
    <n v="0"/>
    <x v="0"/>
    <n v="0"/>
    <x v="2"/>
  </r>
  <r>
    <x v="173"/>
    <n v="101"/>
    <x v="0"/>
    <x v="0"/>
    <x v="0"/>
    <n v="1"/>
    <x v="1"/>
    <x v="2"/>
    <n v="1"/>
    <x v="2"/>
    <n v="0"/>
    <x v="1"/>
    <n v="1"/>
    <x v="0"/>
  </r>
  <r>
    <x v="174"/>
    <n v="101"/>
    <x v="0"/>
    <x v="0"/>
    <x v="0"/>
    <n v="1"/>
    <x v="1"/>
    <x v="0"/>
    <n v="0"/>
    <x v="0"/>
    <n v="0"/>
    <x v="1"/>
    <n v="0"/>
    <x v="0"/>
  </r>
  <r>
    <x v="175"/>
    <n v="101"/>
    <x v="1"/>
    <x v="1"/>
    <x v="5"/>
    <n v="1"/>
    <x v="1"/>
    <x v="1"/>
    <n v="0"/>
    <x v="0"/>
    <n v="0"/>
    <x v="1"/>
    <n v="1"/>
    <x v="2"/>
  </r>
  <r>
    <x v="176"/>
    <n v="101"/>
    <x v="1"/>
    <x v="1"/>
    <x v="7"/>
    <n v="0"/>
    <x v="3"/>
    <x v="1"/>
    <n v="0"/>
    <x v="0"/>
    <n v="1"/>
    <x v="1"/>
    <n v="0"/>
    <x v="1"/>
  </r>
  <r>
    <x v="177"/>
    <n v="101"/>
    <x v="0"/>
    <x v="0"/>
    <x v="5"/>
    <n v="1"/>
    <x v="2"/>
    <x v="0"/>
    <n v="0"/>
    <x v="0"/>
    <n v="0"/>
    <x v="1"/>
    <n v="1"/>
    <x v="2"/>
  </r>
  <r>
    <x v="178"/>
    <n v="101"/>
    <x v="1"/>
    <x v="1"/>
    <x v="7"/>
    <n v="1"/>
    <x v="1"/>
    <x v="2"/>
    <n v="1"/>
    <x v="0"/>
    <n v="1"/>
    <x v="1"/>
    <n v="0"/>
    <x v="0"/>
  </r>
  <r>
    <x v="179"/>
    <n v="101"/>
    <x v="1"/>
    <x v="1"/>
    <x v="2"/>
    <n v="1"/>
    <x v="1"/>
    <x v="2"/>
    <n v="1"/>
    <x v="2"/>
    <n v="0"/>
    <x v="0"/>
    <n v="0"/>
    <x v="2"/>
  </r>
  <r>
    <x v="180"/>
    <n v="101"/>
    <x v="1"/>
    <x v="1"/>
    <x v="5"/>
    <n v="1"/>
    <x v="2"/>
    <x v="1"/>
    <n v="2"/>
    <x v="1"/>
    <n v="1"/>
    <x v="1"/>
    <n v="0"/>
    <x v="0"/>
  </r>
  <r>
    <x v="181"/>
    <n v="101"/>
    <x v="1"/>
    <x v="1"/>
    <x v="5"/>
    <n v="1"/>
    <x v="2"/>
    <x v="2"/>
    <n v="1"/>
    <x v="0"/>
    <n v="1"/>
    <x v="0"/>
    <n v="1"/>
    <x v="3"/>
  </r>
  <r>
    <x v="182"/>
    <n v="101"/>
    <x v="1"/>
    <x v="1"/>
    <x v="2"/>
    <n v="1"/>
    <x v="0"/>
    <x v="1"/>
    <n v="0"/>
    <x v="0"/>
    <n v="0"/>
    <x v="1"/>
    <n v="0"/>
    <x v="1"/>
  </r>
  <r>
    <x v="183"/>
    <n v="101"/>
    <x v="1"/>
    <x v="1"/>
    <x v="1"/>
    <n v="1"/>
    <x v="3"/>
    <x v="0"/>
    <n v="99"/>
    <x v="0"/>
    <n v="0"/>
    <x v="1"/>
    <n v="1"/>
    <x v="0"/>
  </r>
  <r>
    <x v="184"/>
    <n v="101"/>
    <x v="1"/>
    <x v="1"/>
    <x v="5"/>
    <n v="1"/>
    <x v="1"/>
    <x v="1"/>
    <n v="0"/>
    <x v="0"/>
    <n v="0"/>
    <x v="1"/>
    <n v="1"/>
    <x v="1"/>
  </r>
  <r>
    <x v="185"/>
    <n v="101"/>
    <x v="0"/>
    <x v="0"/>
    <x v="5"/>
    <n v="1"/>
    <x v="1"/>
    <x v="0"/>
    <n v="0"/>
    <x v="0"/>
    <n v="0"/>
    <x v="1"/>
    <n v="0"/>
    <x v="2"/>
  </r>
  <r>
    <x v="186"/>
    <n v="101"/>
    <x v="1"/>
    <x v="1"/>
    <x v="0"/>
    <n v="1"/>
    <x v="0"/>
    <x v="0"/>
    <n v="0"/>
    <x v="0"/>
    <n v="0"/>
    <x v="1"/>
    <n v="0"/>
    <x v="2"/>
  </r>
  <r>
    <x v="187"/>
    <n v="101"/>
    <x v="1"/>
    <x v="1"/>
    <x v="3"/>
    <n v="1"/>
    <x v="2"/>
    <x v="0"/>
    <n v="0"/>
    <x v="0"/>
    <n v="0"/>
    <x v="1"/>
    <n v="0"/>
    <x v="3"/>
  </r>
  <r>
    <x v="188"/>
    <n v="101"/>
    <x v="1"/>
    <x v="1"/>
    <x v="2"/>
    <n v="1"/>
    <x v="3"/>
    <x v="2"/>
    <n v="0"/>
    <x v="2"/>
    <n v="1"/>
    <x v="1"/>
    <n v="2"/>
    <x v="3"/>
  </r>
  <r>
    <x v="189"/>
    <n v="101"/>
    <x v="1"/>
    <x v="1"/>
    <x v="2"/>
    <n v="1"/>
    <x v="3"/>
    <x v="0"/>
    <n v="0"/>
    <x v="0"/>
    <n v="0"/>
    <x v="1"/>
    <n v="99"/>
    <x v="1"/>
  </r>
  <r>
    <x v="190"/>
    <n v="101"/>
    <x v="0"/>
    <x v="0"/>
    <x v="0"/>
    <n v="1"/>
    <x v="0"/>
    <x v="2"/>
    <n v="2"/>
    <x v="0"/>
    <n v="0"/>
    <x v="0"/>
    <n v="0"/>
    <x v="2"/>
  </r>
  <r>
    <x v="191"/>
    <n v="101"/>
    <x v="1"/>
    <x v="1"/>
    <x v="5"/>
    <n v="1"/>
    <x v="2"/>
    <x v="1"/>
    <n v="0"/>
    <x v="0"/>
    <n v="0"/>
    <x v="1"/>
    <n v="0"/>
    <x v="2"/>
  </r>
  <r>
    <x v="192"/>
    <n v="101"/>
    <x v="1"/>
    <x v="1"/>
    <x v="5"/>
    <n v="1"/>
    <x v="1"/>
    <x v="0"/>
    <n v="0"/>
    <x v="0"/>
    <n v="0"/>
    <x v="1"/>
    <n v="0"/>
    <x v="1"/>
  </r>
  <r>
    <x v="193"/>
    <n v="101"/>
    <x v="1"/>
    <x v="1"/>
    <x v="2"/>
    <n v="1"/>
    <x v="1"/>
    <x v="0"/>
    <n v="0"/>
    <x v="0"/>
    <n v="0"/>
    <x v="1"/>
    <n v="0"/>
    <x v="5"/>
  </r>
  <r>
    <x v="194"/>
    <n v="101"/>
    <x v="1"/>
    <x v="1"/>
    <x v="2"/>
    <n v="1"/>
    <x v="1"/>
    <x v="1"/>
    <n v="1"/>
    <x v="0"/>
    <n v="0"/>
    <x v="1"/>
    <n v="2"/>
    <x v="2"/>
  </r>
  <r>
    <x v="195"/>
    <n v="101"/>
    <x v="1"/>
    <x v="1"/>
    <x v="1"/>
    <n v="1"/>
    <x v="3"/>
    <x v="2"/>
    <n v="0"/>
    <x v="1"/>
    <n v="2"/>
    <x v="0"/>
    <n v="0"/>
    <x v="1"/>
  </r>
  <r>
    <x v="196"/>
    <n v="101"/>
    <x v="1"/>
    <x v="1"/>
    <x v="5"/>
    <n v="1"/>
    <x v="2"/>
    <x v="0"/>
    <n v="0"/>
    <x v="0"/>
    <n v="0"/>
    <x v="1"/>
    <n v="1"/>
    <x v="2"/>
  </r>
  <r>
    <x v="197"/>
    <n v="101"/>
    <x v="1"/>
    <x v="1"/>
    <x v="6"/>
    <n v="0"/>
    <x v="3"/>
    <x v="0"/>
    <n v="0"/>
    <x v="0"/>
    <n v="0"/>
    <x v="1"/>
    <n v="0"/>
    <x v="1"/>
  </r>
  <r>
    <x v="198"/>
    <n v="101"/>
    <x v="1"/>
    <x v="1"/>
    <x v="2"/>
    <n v="1"/>
    <x v="2"/>
    <x v="2"/>
    <n v="2"/>
    <x v="2"/>
    <n v="2"/>
    <x v="2"/>
    <n v="0"/>
    <x v="1"/>
  </r>
  <r>
    <x v="199"/>
    <n v="101"/>
    <x v="1"/>
    <x v="1"/>
    <x v="5"/>
    <n v="1"/>
    <x v="3"/>
    <x v="2"/>
    <n v="1"/>
    <x v="2"/>
    <n v="1"/>
    <x v="0"/>
    <n v="1"/>
    <x v="0"/>
  </r>
  <r>
    <x v="200"/>
    <n v="101"/>
    <x v="0"/>
    <x v="0"/>
    <x v="0"/>
    <n v="1"/>
    <x v="1"/>
    <x v="2"/>
    <n v="1"/>
    <x v="2"/>
    <n v="1"/>
    <x v="2"/>
    <n v="99"/>
    <x v="0"/>
  </r>
  <r>
    <x v="201"/>
    <n v="101"/>
    <x v="1"/>
    <x v="1"/>
    <x v="1"/>
    <n v="1"/>
    <x v="3"/>
    <x v="2"/>
    <n v="1"/>
    <x v="1"/>
    <n v="1"/>
    <x v="0"/>
    <n v="0"/>
    <x v="2"/>
  </r>
  <r>
    <x v="202"/>
    <n v="101"/>
    <x v="1"/>
    <x v="1"/>
    <x v="0"/>
    <n v="1"/>
    <x v="1"/>
    <x v="0"/>
    <n v="0"/>
    <x v="0"/>
    <n v="0"/>
    <x v="1"/>
    <n v="0"/>
    <x v="2"/>
  </r>
  <r>
    <x v="203"/>
    <n v="101"/>
    <x v="0"/>
    <x v="0"/>
    <x v="0"/>
    <n v="1"/>
    <x v="1"/>
    <x v="0"/>
    <n v="0"/>
    <x v="0"/>
    <n v="0"/>
    <x v="1"/>
    <n v="1"/>
    <x v="2"/>
  </r>
  <r>
    <x v="204"/>
    <n v="101"/>
    <x v="1"/>
    <x v="1"/>
    <x v="1"/>
    <n v="1"/>
    <x v="1"/>
    <x v="1"/>
    <n v="2"/>
    <x v="2"/>
    <n v="1"/>
    <x v="2"/>
    <n v="2"/>
    <x v="5"/>
  </r>
  <r>
    <x v="205"/>
    <n v="101"/>
    <x v="1"/>
    <x v="1"/>
    <x v="2"/>
    <n v="1"/>
    <x v="3"/>
    <x v="0"/>
    <n v="0"/>
    <x v="0"/>
    <n v="0"/>
    <x v="1"/>
    <n v="0"/>
    <x v="0"/>
  </r>
  <r>
    <x v="206"/>
    <n v="101"/>
    <x v="0"/>
    <x v="0"/>
    <x v="2"/>
    <n v="1"/>
    <x v="1"/>
    <x v="0"/>
    <n v="0"/>
    <x v="0"/>
    <n v="0"/>
    <x v="1"/>
    <n v="0"/>
    <x v="1"/>
  </r>
  <r>
    <x v="207"/>
    <n v="101"/>
    <x v="1"/>
    <x v="1"/>
    <x v="5"/>
    <n v="1"/>
    <x v="0"/>
    <x v="1"/>
    <n v="0"/>
    <x v="0"/>
    <n v="0"/>
    <x v="1"/>
    <n v="0"/>
    <x v="0"/>
  </r>
  <r>
    <x v="208"/>
    <n v="101"/>
    <x v="0"/>
    <x v="0"/>
    <x v="2"/>
    <n v="1"/>
    <x v="2"/>
    <x v="0"/>
    <n v="0"/>
    <x v="0"/>
    <n v="0"/>
    <x v="1"/>
    <n v="0"/>
    <x v="1"/>
  </r>
  <r>
    <x v="209"/>
    <n v="101"/>
    <x v="0"/>
    <x v="0"/>
    <x v="0"/>
    <n v="1"/>
    <x v="1"/>
    <x v="2"/>
    <n v="1"/>
    <x v="2"/>
    <n v="0"/>
    <x v="1"/>
    <n v="1"/>
    <x v="2"/>
  </r>
  <r>
    <x v="210"/>
    <n v="101"/>
    <x v="1"/>
    <x v="1"/>
    <x v="2"/>
    <n v="1"/>
    <x v="1"/>
    <x v="1"/>
    <n v="1"/>
    <x v="2"/>
    <n v="0"/>
    <x v="2"/>
    <n v="1"/>
    <x v="2"/>
  </r>
  <r>
    <x v="211"/>
    <n v="101"/>
    <x v="0"/>
    <x v="0"/>
    <x v="1"/>
    <n v="1"/>
    <x v="2"/>
    <x v="1"/>
    <n v="1"/>
    <x v="0"/>
    <n v="0"/>
    <x v="1"/>
    <n v="1"/>
    <x v="2"/>
  </r>
  <r>
    <x v="212"/>
    <n v="101"/>
    <x v="1"/>
    <x v="1"/>
    <x v="1"/>
    <n v="1"/>
    <x v="1"/>
    <x v="1"/>
    <n v="0"/>
    <x v="0"/>
    <n v="1"/>
    <x v="1"/>
    <n v="0"/>
    <x v="0"/>
  </r>
  <r>
    <x v="213"/>
    <n v="101"/>
    <x v="1"/>
    <x v="1"/>
    <x v="1"/>
    <n v="1"/>
    <x v="3"/>
    <x v="0"/>
    <n v="0"/>
    <x v="0"/>
    <n v="0"/>
    <x v="1"/>
    <n v="0"/>
    <x v="2"/>
  </r>
  <r>
    <x v="214"/>
    <n v="101"/>
    <x v="1"/>
    <x v="1"/>
    <x v="5"/>
    <n v="1"/>
    <x v="2"/>
    <x v="0"/>
    <n v="0"/>
    <x v="2"/>
    <n v="0"/>
    <x v="1"/>
    <n v="0"/>
    <x v="0"/>
  </r>
  <r>
    <x v="215"/>
    <n v="101"/>
    <x v="0"/>
    <x v="0"/>
    <x v="4"/>
    <n v="0"/>
    <x v="1"/>
    <x v="1"/>
    <n v="0"/>
    <x v="0"/>
    <n v="0"/>
    <x v="1"/>
    <n v="0"/>
    <x v="1"/>
  </r>
  <r>
    <x v="216"/>
    <n v="101"/>
    <x v="0"/>
    <x v="0"/>
    <x v="0"/>
    <n v="1"/>
    <x v="2"/>
    <x v="0"/>
    <n v="0"/>
    <x v="2"/>
    <n v="0"/>
    <x v="1"/>
    <n v="1"/>
    <x v="3"/>
  </r>
  <r>
    <x v="217"/>
    <n v="101"/>
    <x v="1"/>
    <x v="1"/>
    <x v="5"/>
    <n v="1"/>
    <x v="1"/>
    <x v="1"/>
    <n v="1"/>
    <x v="0"/>
    <n v="0"/>
    <x v="1"/>
    <n v="2"/>
    <x v="2"/>
  </r>
  <r>
    <x v="218"/>
    <n v="101"/>
    <x v="1"/>
    <x v="1"/>
    <x v="5"/>
    <n v="1"/>
    <x v="2"/>
    <x v="2"/>
    <n v="1"/>
    <x v="2"/>
    <n v="1"/>
    <x v="1"/>
    <n v="0"/>
    <x v="1"/>
  </r>
  <r>
    <x v="219"/>
    <n v="101"/>
    <x v="1"/>
    <x v="1"/>
    <x v="1"/>
    <n v="1"/>
    <x v="1"/>
    <x v="0"/>
    <n v="0"/>
    <x v="0"/>
    <n v="0"/>
    <x v="1"/>
    <n v="0"/>
    <x v="0"/>
  </r>
  <r>
    <x v="220"/>
    <n v="101"/>
    <x v="1"/>
    <x v="1"/>
    <x v="0"/>
    <n v="1"/>
    <x v="3"/>
    <x v="0"/>
    <n v="0"/>
    <x v="0"/>
    <n v="0"/>
    <x v="1"/>
    <n v="0"/>
    <x v="1"/>
  </r>
  <r>
    <x v="221"/>
    <n v="101"/>
    <x v="0"/>
    <x v="0"/>
    <x v="1"/>
    <n v="1"/>
    <x v="1"/>
    <x v="0"/>
    <n v="0"/>
    <x v="0"/>
    <n v="0"/>
    <x v="1"/>
    <n v="0"/>
    <x v="4"/>
  </r>
  <r>
    <x v="222"/>
    <n v="101"/>
    <x v="1"/>
    <x v="1"/>
    <x v="3"/>
    <n v="1"/>
    <x v="0"/>
    <x v="1"/>
    <n v="0"/>
    <x v="0"/>
    <n v="0"/>
    <x v="1"/>
    <n v="2"/>
    <x v="2"/>
  </r>
  <r>
    <x v="223"/>
    <n v="101"/>
    <x v="0"/>
    <x v="0"/>
    <x v="2"/>
    <n v="1"/>
    <x v="2"/>
    <x v="0"/>
    <n v="0"/>
    <x v="2"/>
    <n v="0"/>
    <x v="0"/>
    <n v="0"/>
    <x v="3"/>
  </r>
  <r>
    <x v="224"/>
    <n v="101"/>
    <x v="1"/>
    <x v="1"/>
    <x v="0"/>
    <n v="1"/>
    <x v="1"/>
    <x v="1"/>
    <n v="0"/>
    <x v="0"/>
    <n v="0"/>
    <x v="0"/>
    <n v="1"/>
    <x v="0"/>
  </r>
  <r>
    <x v="225"/>
    <n v="101"/>
    <x v="1"/>
    <x v="1"/>
    <x v="5"/>
    <n v="1"/>
    <x v="1"/>
    <x v="2"/>
    <n v="1"/>
    <x v="2"/>
    <n v="1"/>
    <x v="0"/>
    <n v="1"/>
    <x v="1"/>
  </r>
  <r>
    <x v="226"/>
    <n v="101"/>
    <x v="0"/>
    <x v="0"/>
    <x v="5"/>
    <n v="1"/>
    <x v="1"/>
    <x v="0"/>
    <n v="0"/>
    <x v="0"/>
    <n v="0"/>
    <x v="0"/>
    <n v="1"/>
    <x v="1"/>
  </r>
  <r>
    <x v="227"/>
    <n v="101"/>
    <x v="0"/>
    <x v="0"/>
    <x v="5"/>
    <n v="1"/>
    <x v="2"/>
    <x v="1"/>
    <n v="1"/>
    <x v="0"/>
    <n v="1"/>
    <x v="0"/>
    <n v="1"/>
    <x v="1"/>
  </r>
  <r>
    <x v="228"/>
    <n v="101"/>
    <x v="1"/>
    <x v="1"/>
    <x v="1"/>
    <n v="1"/>
    <x v="1"/>
    <x v="1"/>
    <n v="0"/>
    <x v="2"/>
    <n v="0"/>
    <x v="0"/>
    <n v="1"/>
    <x v="2"/>
  </r>
  <r>
    <x v="229"/>
    <n v="101"/>
    <x v="0"/>
    <x v="0"/>
    <x v="2"/>
    <n v="1"/>
    <x v="3"/>
    <x v="2"/>
    <n v="0"/>
    <x v="0"/>
    <n v="0"/>
    <x v="1"/>
    <n v="0"/>
    <x v="0"/>
  </r>
  <r>
    <x v="230"/>
    <n v="101"/>
    <x v="1"/>
    <x v="1"/>
    <x v="5"/>
    <n v="1"/>
    <x v="3"/>
    <x v="2"/>
    <n v="1"/>
    <x v="2"/>
    <n v="0"/>
    <x v="0"/>
    <n v="0"/>
    <x v="1"/>
  </r>
  <r>
    <x v="231"/>
    <n v="101"/>
    <x v="1"/>
    <x v="1"/>
    <x v="0"/>
    <n v="1"/>
    <x v="2"/>
    <x v="0"/>
    <n v="0"/>
    <x v="0"/>
    <n v="0"/>
    <x v="1"/>
    <n v="1"/>
    <x v="2"/>
  </r>
  <r>
    <x v="232"/>
    <n v="101"/>
    <x v="1"/>
    <x v="1"/>
    <x v="5"/>
    <n v="1"/>
    <x v="0"/>
    <x v="0"/>
    <n v="0"/>
    <x v="0"/>
    <n v="0"/>
    <x v="1"/>
    <n v="1"/>
    <x v="0"/>
  </r>
  <r>
    <x v="233"/>
    <n v="101"/>
    <x v="0"/>
    <x v="0"/>
    <x v="0"/>
    <n v="1"/>
    <x v="2"/>
    <x v="0"/>
    <n v="0"/>
    <x v="0"/>
    <n v="0"/>
    <x v="1"/>
    <n v="0"/>
    <x v="2"/>
  </r>
  <r>
    <x v="234"/>
    <n v="101"/>
    <x v="1"/>
    <x v="1"/>
    <x v="5"/>
    <n v="1"/>
    <x v="3"/>
    <x v="0"/>
    <n v="0"/>
    <x v="0"/>
    <n v="0"/>
    <x v="1"/>
    <n v="1"/>
    <x v="2"/>
  </r>
  <r>
    <x v="235"/>
    <n v="101"/>
    <x v="1"/>
    <x v="1"/>
    <x v="7"/>
    <n v="1"/>
    <x v="2"/>
    <x v="2"/>
    <n v="1"/>
    <x v="2"/>
    <n v="0"/>
    <x v="1"/>
    <n v="2"/>
    <x v="1"/>
  </r>
  <r>
    <x v="236"/>
    <n v="101"/>
    <x v="1"/>
    <x v="1"/>
    <x v="2"/>
    <n v="1"/>
    <x v="3"/>
    <x v="2"/>
    <n v="0"/>
    <x v="0"/>
    <n v="0"/>
    <x v="1"/>
    <n v="0"/>
    <x v="3"/>
  </r>
  <r>
    <x v="237"/>
    <n v="101"/>
    <x v="1"/>
    <x v="1"/>
    <x v="2"/>
    <n v="1"/>
    <x v="1"/>
    <x v="2"/>
    <n v="1"/>
    <x v="0"/>
    <n v="0"/>
    <x v="1"/>
    <n v="0"/>
    <x v="2"/>
  </r>
  <r>
    <x v="238"/>
    <n v="101"/>
    <x v="1"/>
    <x v="1"/>
    <x v="0"/>
    <n v="1"/>
    <x v="1"/>
    <x v="2"/>
    <n v="1"/>
    <x v="0"/>
    <n v="0"/>
    <x v="0"/>
    <n v="1"/>
    <x v="1"/>
  </r>
  <r>
    <x v="239"/>
    <n v="101"/>
    <x v="1"/>
    <x v="1"/>
    <x v="1"/>
    <n v="1"/>
    <x v="1"/>
    <x v="0"/>
    <n v="0"/>
    <x v="0"/>
    <n v="0"/>
    <x v="1"/>
    <n v="0"/>
    <x v="0"/>
  </r>
  <r>
    <x v="240"/>
    <n v="101"/>
    <x v="1"/>
    <x v="1"/>
    <x v="5"/>
    <n v="1"/>
    <x v="2"/>
    <x v="0"/>
    <n v="0"/>
    <x v="0"/>
    <n v="0"/>
    <x v="1"/>
    <n v="2"/>
    <x v="1"/>
  </r>
  <r>
    <x v="241"/>
    <n v="101"/>
    <x v="1"/>
    <x v="1"/>
    <x v="0"/>
    <n v="1"/>
    <x v="1"/>
    <x v="1"/>
    <n v="0"/>
    <x v="0"/>
    <n v="0"/>
    <x v="1"/>
    <n v="0"/>
    <x v="1"/>
  </r>
  <r>
    <x v="242"/>
    <n v="101"/>
    <x v="0"/>
    <x v="0"/>
    <x v="6"/>
    <n v="0"/>
    <x v="1"/>
    <x v="0"/>
    <n v="1"/>
    <x v="0"/>
    <n v="0"/>
    <x v="0"/>
    <n v="0"/>
    <x v="2"/>
  </r>
  <r>
    <x v="243"/>
    <n v="101"/>
    <x v="0"/>
    <x v="0"/>
    <x v="0"/>
    <n v="1"/>
    <x v="1"/>
    <x v="1"/>
    <n v="0"/>
    <x v="0"/>
    <n v="0"/>
    <x v="0"/>
    <n v="1"/>
    <x v="3"/>
  </r>
  <r>
    <x v="244"/>
    <n v="101"/>
    <x v="1"/>
    <x v="1"/>
    <x v="2"/>
    <n v="1"/>
    <x v="1"/>
    <x v="2"/>
    <n v="2"/>
    <x v="2"/>
    <n v="1"/>
    <x v="2"/>
    <n v="2"/>
    <x v="1"/>
  </r>
  <r>
    <x v="245"/>
    <n v="101"/>
    <x v="0"/>
    <x v="0"/>
    <x v="0"/>
    <n v="1"/>
    <x v="3"/>
    <x v="0"/>
    <n v="0"/>
    <x v="0"/>
    <n v="0"/>
    <x v="0"/>
    <n v="1"/>
    <x v="2"/>
  </r>
  <r>
    <x v="246"/>
    <n v="101"/>
    <x v="0"/>
    <x v="0"/>
    <x v="0"/>
    <n v="1"/>
    <x v="1"/>
    <x v="2"/>
    <n v="1"/>
    <x v="2"/>
    <n v="0"/>
    <x v="1"/>
    <n v="1"/>
    <x v="0"/>
  </r>
  <r>
    <x v="247"/>
    <n v="101"/>
    <x v="1"/>
    <x v="1"/>
    <x v="1"/>
    <n v="1"/>
    <x v="2"/>
    <x v="0"/>
    <n v="0"/>
    <x v="0"/>
    <n v="0"/>
    <x v="1"/>
    <n v="0"/>
    <x v="1"/>
  </r>
  <r>
    <x v="248"/>
    <n v="101"/>
    <x v="1"/>
    <x v="1"/>
    <x v="2"/>
    <n v="1"/>
    <x v="2"/>
    <x v="2"/>
    <n v="2"/>
    <x v="2"/>
    <n v="1"/>
    <x v="1"/>
    <n v="1"/>
    <x v="1"/>
  </r>
  <r>
    <x v="249"/>
    <n v="101"/>
    <x v="1"/>
    <x v="1"/>
    <x v="2"/>
    <n v="1"/>
    <x v="2"/>
    <x v="2"/>
    <n v="0"/>
    <x v="0"/>
    <n v="0"/>
    <x v="1"/>
    <n v="1"/>
    <x v="3"/>
  </r>
  <r>
    <x v="250"/>
    <n v="101"/>
    <x v="0"/>
    <x v="0"/>
    <x v="5"/>
    <n v="1"/>
    <x v="2"/>
    <x v="0"/>
    <n v="0"/>
    <x v="0"/>
    <n v="0"/>
    <x v="1"/>
    <n v="0"/>
    <x v="2"/>
  </r>
  <r>
    <x v="251"/>
    <n v="101"/>
    <x v="0"/>
    <x v="0"/>
    <x v="1"/>
    <n v="1"/>
    <x v="1"/>
    <x v="1"/>
    <n v="1"/>
    <x v="2"/>
    <n v="0"/>
    <x v="0"/>
    <n v="1"/>
    <x v="2"/>
  </r>
  <r>
    <x v="252"/>
    <n v="101"/>
    <x v="1"/>
    <x v="1"/>
    <x v="0"/>
    <n v="1"/>
    <x v="1"/>
    <x v="2"/>
    <n v="0"/>
    <x v="0"/>
    <n v="0"/>
    <x v="2"/>
    <n v="2"/>
    <x v="0"/>
  </r>
  <r>
    <x v="253"/>
    <n v="101"/>
    <x v="1"/>
    <x v="1"/>
    <x v="2"/>
    <n v="1"/>
    <x v="0"/>
    <x v="0"/>
    <n v="0"/>
    <x v="0"/>
    <n v="0"/>
    <x v="1"/>
    <n v="0"/>
    <x v="5"/>
  </r>
  <r>
    <x v="254"/>
    <n v="101"/>
    <x v="1"/>
    <x v="1"/>
    <x v="2"/>
    <n v="1"/>
    <x v="1"/>
    <x v="0"/>
    <n v="0"/>
    <x v="0"/>
    <n v="0"/>
    <x v="1"/>
    <n v="0"/>
    <x v="2"/>
  </r>
  <r>
    <x v="255"/>
    <n v="101"/>
    <x v="0"/>
    <x v="0"/>
    <x v="1"/>
    <n v="1"/>
    <x v="2"/>
    <x v="0"/>
    <n v="0"/>
    <x v="0"/>
    <n v="0"/>
    <x v="0"/>
    <n v="1"/>
    <x v="2"/>
  </r>
  <r>
    <x v="256"/>
    <n v="101"/>
    <x v="0"/>
    <x v="0"/>
    <x v="5"/>
    <n v="1"/>
    <x v="3"/>
    <x v="2"/>
    <n v="1"/>
    <x v="2"/>
    <n v="2"/>
    <x v="0"/>
    <n v="1"/>
    <x v="1"/>
  </r>
  <r>
    <x v="257"/>
    <n v="101"/>
    <x v="1"/>
    <x v="1"/>
    <x v="1"/>
    <n v="1"/>
    <x v="2"/>
    <x v="1"/>
    <n v="0"/>
    <x v="0"/>
    <n v="0"/>
    <x v="1"/>
    <n v="1"/>
    <x v="2"/>
  </r>
  <r>
    <x v="258"/>
    <n v="101"/>
    <x v="1"/>
    <x v="1"/>
    <x v="2"/>
    <n v="1"/>
    <x v="3"/>
    <x v="0"/>
    <n v="0"/>
    <x v="0"/>
    <n v="0"/>
    <x v="1"/>
    <n v="0"/>
    <x v="2"/>
  </r>
  <r>
    <x v="259"/>
    <n v="101"/>
    <x v="1"/>
    <x v="1"/>
    <x v="5"/>
    <n v="1"/>
    <x v="0"/>
    <x v="0"/>
    <n v="2"/>
    <x v="0"/>
    <n v="1"/>
    <x v="2"/>
    <n v="2"/>
    <x v="2"/>
  </r>
  <r>
    <x v="260"/>
    <n v="101"/>
    <x v="1"/>
    <x v="1"/>
    <x v="2"/>
    <n v="1"/>
    <x v="2"/>
    <x v="2"/>
    <n v="0"/>
    <x v="0"/>
    <n v="0"/>
    <x v="1"/>
    <n v="0"/>
    <x v="0"/>
  </r>
  <r>
    <x v="261"/>
    <n v="101"/>
    <x v="0"/>
    <x v="0"/>
    <x v="2"/>
    <n v="1"/>
    <x v="2"/>
    <x v="0"/>
    <n v="2"/>
    <x v="2"/>
    <n v="0"/>
    <x v="2"/>
    <n v="1"/>
    <x v="2"/>
  </r>
  <r>
    <x v="262"/>
    <n v="101"/>
    <x v="0"/>
    <x v="0"/>
    <x v="1"/>
    <n v="1"/>
    <x v="3"/>
    <x v="0"/>
    <n v="0"/>
    <x v="0"/>
    <n v="0"/>
    <x v="1"/>
    <n v="0"/>
    <x v="2"/>
  </r>
  <r>
    <x v="263"/>
    <n v="101"/>
    <x v="1"/>
    <x v="1"/>
    <x v="1"/>
    <n v="1"/>
    <x v="1"/>
    <x v="0"/>
    <n v="0"/>
    <x v="0"/>
    <n v="0"/>
    <x v="0"/>
    <n v="1"/>
    <x v="1"/>
  </r>
  <r>
    <x v="264"/>
    <n v="101"/>
    <x v="1"/>
    <x v="1"/>
    <x v="0"/>
    <n v="1"/>
    <x v="0"/>
    <x v="0"/>
    <n v="0"/>
    <x v="0"/>
    <n v="0"/>
    <x v="1"/>
    <n v="0"/>
    <x v="2"/>
  </r>
  <r>
    <x v="265"/>
    <n v="101"/>
    <x v="1"/>
    <x v="1"/>
    <x v="2"/>
    <n v="1"/>
    <x v="3"/>
    <x v="0"/>
    <n v="0"/>
    <x v="0"/>
    <n v="0"/>
    <x v="1"/>
    <n v="0"/>
    <x v="2"/>
  </r>
  <r>
    <x v="266"/>
    <n v="101"/>
    <x v="1"/>
    <x v="1"/>
    <x v="3"/>
    <n v="1"/>
    <x v="1"/>
    <x v="0"/>
    <n v="0"/>
    <x v="1"/>
    <n v="0"/>
    <x v="1"/>
    <n v="0"/>
    <x v="2"/>
  </r>
  <r>
    <x v="267"/>
    <n v="101"/>
    <x v="0"/>
    <x v="0"/>
    <x v="0"/>
    <n v="1"/>
    <x v="2"/>
    <x v="1"/>
    <n v="0"/>
    <x v="0"/>
    <n v="0"/>
    <x v="0"/>
    <n v="1"/>
    <x v="3"/>
  </r>
  <r>
    <x v="268"/>
    <n v="101"/>
    <x v="0"/>
    <x v="0"/>
    <x v="5"/>
    <n v="1"/>
    <x v="3"/>
    <x v="0"/>
    <n v="0"/>
    <x v="0"/>
    <n v="0"/>
    <x v="1"/>
    <n v="0"/>
    <x v="2"/>
  </r>
  <r>
    <x v="269"/>
    <n v="101"/>
    <x v="1"/>
    <x v="1"/>
    <x v="1"/>
    <n v="1"/>
    <x v="0"/>
    <x v="1"/>
    <n v="0"/>
    <x v="0"/>
    <n v="0"/>
    <x v="1"/>
    <n v="0"/>
    <x v="2"/>
  </r>
  <r>
    <x v="270"/>
    <n v="101"/>
    <x v="1"/>
    <x v="1"/>
    <x v="2"/>
    <n v="1"/>
    <x v="0"/>
    <x v="0"/>
    <n v="0"/>
    <x v="0"/>
    <n v="0"/>
    <x v="1"/>
    <n v="0"/>
    <x v="0"/>
  </r>
  <r>
    <x v="271"/>
    <n v="101"/>
    <x v="1"/>
    <x v="1"/>
    <x v="1"/>
    <n v="1"/>
    <x v="1"/>
    <x v="1"/>
    <n v="0"/>
    <x v="0"/>
    <n v="0"/>
    <x v="1"/>
    <n v="0"/>
    <x v="2"/>
  </r>
  <r>
    <x v="272"/>
    <n v="101"/>
    <x v="1"/>
    <x v="1"/>
    <x v="5"/>
    <n v="1"/>
    <x v="1"/>
    <x v="2"/>
    <n v="2"/>
    <x v="2"/>
    <n v="1"/>
    <x v="0"/>
    <n v="1"/>
    <x v="0"/>
  </r>
  <r>
    <x v="273"/>
    <n v="101"/>
    <x v="0"/>
    <x v="0"/>
    <x v="1"/>
    <n v="1"/>
    <x v="2"/>
    <x v="2"/>
    <n v="1"/>
    <x v="0"/>
    <n v="1"/>
    <x v="2"/>
    <n v="1"/>
    <x v="0"/>
  </r>
  <r>
    <x v="274"/>
    <n v="101"/>
    <x v="1"/>
    <x v="1"/>
    <x v="1"/>
    <n v="1"/>
    <x v="1"/>
    <x v="0"/>
    <n v="1"/>
    <x v="0"/>
    <n v="0"/>
    <x v="1"/>
    <n v="0"/>
    <x v="2"/>
  </r>
  <r>
    <x v="275"/>
    <n v="101"/>
    <x v="1"/>
    <x v="1"/>
    <x v="2"/>
    <n v="1"/>
    <x v="3"/>
    <x v="0"/>
    <n v="1"/>
    <x v="0"/>
    <n v="0"/>
    <x v="1"/>
    <n v="1"/>
    <x v="2"/>
  </r>
  <r>
    <x v="276"/>
    <n v="101"/>
    <x v="0"/>
    <x v="0"/>
    <x v="5"/>
    <n v="1"/>
    <x v="2"/>
    <x v="1"/>
    <n v="1"/>
    <x v="0"/>
    <n v="0"/>
    <x v="2"/>
    <n v="2"/>
    <x v="1"/>
  </r>
  <r>
    <x v="277"/>
    <n v="101"/>
    <x v="0"/>
    <x v="0"/>
    <x v="5"/>
    <n v="1"/>
    <x v="3"/>
    <x v="1"/>
    <n v="0"/>
    <x v="2"/>
    <n v="0"/>
    <x v="1"/>
    <n v="0"/>
    <x v="1"/>
  </r>
  <r>
    <x v="278"/>
    <n v="101"/>
    <x v="1"/>
    <x v="1"/>
    <x v="2"/>
    <n v="1"/>
    <x v="3"/>
    <x v="0"/>
    <n v="0"/>
    <x v="0"/>
    <n v="0"/>
    <x v="0"/>
    <n v="1"/>
    <x v="1"/>
  </r>
  <r>
    <x v="279"/>
    <n v="101"/>
    <x v="0"/>
    <x v="0"/>
    <x v="1"/>
    <n v="1"/>
    <x v="2"/>
    <x v="0"/>
    <n v="0"/>
    <x v="0"/>
    <n v="0"/>
    <x v="1"/>
    <n v="0"/>
    <x v="2"/>
  </r>
  <r>
    <x v="280"/>
    <n v="101"/>
    <x v="0"/>
    <x v="0"/>
    <x v="0"/>
    <n v="1"/>
    <x v="2"/>
    <x v="0"/>
    <n v="0"/>
    <x v="1"/>
    <n v="0"/>
    <x v="1"/>
    <n v="0"/>
    <x v="1"/>
  </r>
  <r>
    <x v="281"/>
    <n v="101"/>
    <x v="1"/>
    <x v="1"/>
    <x v="5"/>
    <n v="1"/>
    <x v="1"/>
    <x v="1"/>
    <n v="0"/>
    <x v="0"/>
    <n v="0"/>
    <x v="2"/>
    <n v="1"/>
    <x v="2"/>
  </r>
  <r>
    <x v="282"/>
    <n v="101"/>
    <x v="0"/>
    <x v="0"/>
    <x v="2"/>
    <n v="1"/>
    <x v="1"/>
    <x v="2"/>
    <n v="0"/>
    <x v="0"/>
    <n v="2"/>
    <x v="1"/>
    <n v="0"/>
    <x v="0"/>
  </r>
  <r>
    <x v="283"/>
    <n v="101"/>
    <x v="1"/>
    <x v="1"/>
    <x v="1"/>
    <n v="1"/>
    <x v="1"/>
    <x v="0"/>
    <n v="0"/>
    <x v="0"/>
    <n v="0"/>
    <x v="1"/>
    <n v="0"/>
    <x v="2"/>
  </r>
  <r>
    <x v="284"/>
    <n v="101"/>
    <x v="1"/>
    <x v="1"/>
    <x v="0"/>
    <n v="1"/>
    <x v="2"/>
    <x v="0"/>
    <n v="0"/>
    <x v="0"/>
    <n v="0"/>
    <x v="1"/>
    <n v="0"/>
    <x v="0"/>
  </r>
  <r>
    <x v="285"/>
    <n v="101"/>
    <x v="0"/>
    <x v="0"/>
    <x v="0"/>
    <n v="1"/>
    <x v="1"/>
    <x v="2"/>
    <n v="99"/>
    <x v="1"/>
    <n v="0"/>
    <x v="1"/>
    <n v="0"/>
    <x v="1"/>
  </r>
  <r>
    <x v="286"/>
    <n v="101"/>
    <x v="1"/>
    <x v="1"/>
    <x v="5"/>
    <n v="1"/>
    <x v="1"/>
    <x v="2"/>
    <n v="0"/>
    <x v="2"/>
    <n v="0"/>
    <x v="0"/>
    <n v="1"/>
    <x v="1"/>
  </r>
  <r>
    <x v="287"/>
    <n v="101"/>
    <x v="1"/>
    <x v="1"/>
    <x v="5"/>
    <n v="1"/>
    <x v="1"/>
    <x v="0"/>
    <n v="0"/>
    <x v="0"/>
    <n v="0"/>
    <x v="1"/>
    <n v="0"/>
    <x v="3"/>
  </r>
  <r>
    <x v="288"/>
    <n v="101"/>
    <x v="0"/>
    <x v="0"/>
    <x v="2"/>
    <n v="1"/>
    <x v="1"/>
    <x v="0"/>
    <n v="0"/>
    <x v="0"/>
    <n v="0"/>
    <x v="1"/>
    <n v="0"/>
    <x v="2"/>
  </r>
  <r>
    <x v="289"/>
    <n v="101"/>
    <x v="0"/>
    <x v="0"/>
    <x v="2"/>
    <n v="1"/>
    <x v="1"/>
    <x v="0"/>
    <n v="0"/>
    <x v="1"/>
    <n v="0"/>
    <x v="1"/>
    <n v="0"/>
    <x v="3"/>
  </r>
  <r>
    <x v="290"/>
    <n v="101"/>
    <x v="0"/>
    <x v="0"/>
    <x v="5"/>
    <n v="1"/>
    <x v="0"/>
    <x v="1"/>
    <n v="0"/>
    <x v="1"/>
    <n v="0"/>
    <x v="1"/>
    <n v="1"/>
    <x v="2"/>
  </r>
  <r>
    <x v="291"/>
    <n v="101"/>
    <x v="1"/>
    <x v="1"/>
    <x v="1"/>
    <n v="1"/>
    <x v="1"/>
    <x v="2"/>
    <n v="0"/>
    <x v="0"/>
    <n v="0"/>
    <x v="2"/>
    <n v="2"/>
    <x v="2"/>
  </r>
  <r>
    <x v="292"/>
    <n v="101"/>
    <x v="1"/>
    <x v="1"/>
    <x v="5"/>
    <n v="1"/>
    <x v="3"/>
    <x v="1"/>
    <n v="1"/>
    <x v="2"/>
    <n v="0"/>
    <x v="1"/>
    <n v="0"/>
    <x v="2"/>
  </r>
  <r>
    <x v="293"/>
    <n v="101"/>
    <x v="0"/>
    <x v="0"/>
    <x v="5"/>
    <n v="1"/>
    <x v="2"/>
    <x v="1"/>
    <n v="1"/>
    <x v="0"/>
    <n v="0"/>
    <x v="0"/>
    <n v="1"/>
    <x v="1"/>
  </r>
  <r>
    <x v="294"/>
    <n v="101"/>
    <x v="1"/>
    <x v="1"/>
    <x v="1"/>
    <n v="1"/>
    <x v="3"/>
    <x v="2"/>
    <n v="1"/>
    <x v="2"/>
    <n v="0"/>
    <x v="0"/>
    <n v="1"/>
    <x v="0"/>
  </r>
  <r>
    <x v="295"/>
    <n v="101"/>
    <x v="0"/>
    <x v="0"/>
    <x v="0"/>
    <n v="1"/>
    <x v="1"/>
    <x v="0"/>
    <n v="0"/>
    <x v="0"/>
    <n v="0"/>
    <x v="1"/>
    <n v="0"/>
    <x v="1"/>
  </r>
  <r>
    <x v="296"/>
    <n v="101"/>
    <x v="1"/>
    <x v="1"/>
    <x v="0"/>
    <n v="1"/>
    <x v="1"/>
    <x v="1"/>
    <n v="0"/>
    <x v="0"/>
    <n v="0"/>
    <x v="1"/>
    <n v="0"/>
    <x v="1"/>
  </r>
  <r>
    <x v="297"/>
    <n v="101"/>
    <x v="1"/>
    <x v="1"/>
    <x v="1"/>
    <n v="1"/>
    <x v="3"/>
    <x v="0"/>
    <n v="0"/>
    <x v="0"/>
    <n v="0"/>
    <x v="1"/>
    <n v="1"/>
    <x v="1"/>
  </r>
  <r>
    <x v="298"/>
    <n v="101"/>
    <x v="0"/>
    <x v="0"/>
    <x v="2"/>
    <n v="1"/>
    <x v="2"/>
    <x v="0"/>
    <n v="0"/>
    <x v="0"/>
    <n v="0"/>
    <x v="1"/>
    <n v="0"/>
    <x v="0"/>
  </r>
  <r>
    <x v="299"/>
    <n v="101"/>
    <x v="0"/>
    <x v="0"/>
    <x v="5"/>
    <n v="1"/>
    <x v="1"/>
    <x v="0"/>
    <n v="0"/>
    <x v="1"/>
    <n v="0"/>
    <x v="1"/>
    <n v="0"/>
    <x v="2"/>
  </r>
  <r>
    <x v="300"/>
    <n v="101"/>
    <x v="0"/>
    <x v="0"/>
    <x v="5"/>
    <n v="1"/>
    <x v="3"/>
    <x v="0"/>
    <n v="0"/>
    <x v="2"/>
    <n v="0"/>
    <x v="1"/>
    <n v="1"/>
    <x v="2"/>
  </r>
  <r>
    <x v="301"/>
    <n v="101"/>
    <x v="0"/>
    <x v="0"/>
    <x v="0"/>
    <n v="1"/>
    <x v="3"/>
    <x v="1"/>
    <n v="0"/>
    <x v="0"/>
    <n v="0"/>
    <x v="1"/>
    <n v="0"/>
    <x v="1"/>
  </r>
  <r>
    <x v="302"/>
    <n v="101"/>
    <x v="0"/>
    <x v="0"/>
    <x v="2"/>
    <n v="1"/>
    <x v="2"/>
    <x v="0"/>
    <n v="0"/>
    <x v="0"/>
    <n v="0"/>
    <x v="2"/>
    <n v="1"/>
    <x v="2"/>
  </r>
  <r>
    <x v="303"/>
    <n v="101"/>
    <x v="0"/>
    <x v="0"/>
    <x v="5"/>
    <n v="1"/>
    <x v="1"/>
    <x v="0"/>
    <n v="0"/>
    <x v="0"/>
    <n v="0"/>
    <x v="1"/>
    <n v="0"/>
    <x v="0"/>
  </r>
  <r>
    <x v="304"/>
    <n v="101"/>
    <x v="1"/>
    <x v="1"/>
    <x v="3"/>
    <n v="1"/>
    <x v="1"/>
    <x v="1"/>
    <n v="1"/>
    <x v="2"/>
    <n v="0"/>
    <x v="1"/>
    <n v="0"/>
    <x v="3"/>
  </r>
  <r>
    <x v="305"/>
    <n v="101"/>
    <x v="0"/>
    <x v="0"/>
    <x v="0"/>
    <n v="1"/>
    <x v="3"/>
    <x v="1"/>
    <n v="1"/>
    <x v="2"/>
    <n v="0"/>
    <x v="1"/>
    <n v="99"/>
    <x v="2"/>
  </r>
  <r>
    <x v="306"/>
    <n v="101"/>
    <x v="0"/>
    <x v="0"/>
    <x v="0"/>
    <n v="1"/>
    <x v="2"/>
    <x v="2"/>
    <n v="0"/>
    <x v="0"/>
    <n v="0"/>
    <x v="1"/>
    <n v="0"/>
    <x v="1"/>
  </r>
  <r>
    <x v="307"/>
    <n v="101"/>
    <x v="1"/>
    <x v="1"/>
    <x v="5"/>
    <n v="1"/>
    <x v="1"/>
    <x v="1"/>
    <n v="2"/>
    <x v="2"/>
    <n v="1"/>
    <x v="1"/>
    <n v="0"/>
    <x v="2"/>
  </r>
  <r>
    <x v="308"/>
    <n v="101"/>
    <x v="0"/>
    <x v="0"/>
    <x v="1"/>
    <n v="1"/>
    <x v="2"/>
    <x v="0"/>
    <n v="0"/>
    <x v="1"/>
    <n v="0"/>
    <x v="0"/>
    <n v="0"/>
    <x v="3"/>
  </r>
  <r>
    <x v="309"/>
    <n v="101"/>
    <x v="1"/>
    <x v="1"/>
    <x v="2"/>
    <n v="1"/>
    <x v="1"/>
    <x v="0"/>
    <n v="0"/>
    <x v="0"/>
    <n v="0"/>
    <x v="1"/>
    <n v="0"/>
    <x v="0"/>
  </r>
  <r>
    <x v="310"/>
    <n v="101"/>
    <x v="1"/>
    <x v="1"/>
    <x v="1"/>
    <n v="1"/>
    <x v="1"/>
    <x v="0"/>
    <n v="0"/>
    <x v="0"/>
    <n v="0"/>
    <x v="1"/>
    <n v="0"/>
    <x v="0"/>
  </r>
  <r>
    <x v="311"/>
    <n v="101"/>
    <x v="0"/>
    <x v="0"/>
    <x v="1"/>
    <n v="1"/>
    <x v="3"/>
    <x v="1"/>
    <n v="1"/>
    <x v="2"/>
    <n v="1"/>
    <x v="0"/>
    <n v="1"/>
    <x v="3"/>
  </r>
  <r>
    <x v="312"/>
    <n v="101"/>
    <x v="1"/>
    <x v="1"/>
    <x v="5"/>
    <n v="1"/>
    <x v="2"/>
    <x v="2"/>
    <n v="1"/>
    <x v="0"/>
    <n v="1"/>
    <x v="2"/>
    <n v="2"/>
    <x v="2"/>
  </r>
  <r>
    <x v="313"/>
    <n v="101"/>
    <x v="1"/>
    <x v="1"/>
    <x v="2"/>
    <n v="1"/>
    <x v="3"/>
    <x v="0"/>
    <n v="0"/>
    <x v="0"/>
    <n v="0"/>
    <x v="1"/>
    <n v="0"/>
    <x v="0"/>
  </r>
  <r>
    <x v="314"/>
    <n v="101"/>
    <x v="1"/>
    <x v="1"/>
    <x v="2"/>
    <n v="1"/>
    <x v="1"/>
    <x v="2"/>
    <n v="1"/>
    <x v="2"/>
    <n v="1"/>
    <x v="1"/>
    <n v="0"/>
    <x v="3"/>
  </r>
  <r>
    <x v="315"/>
    <n v="101"/>
    <x v="0"/>
    <x v="0"/>
    <x v="6"/>
    <n v="0"/>
    <x v="1"/>
    <x v="0"/>
    <n v="0"/>
    <x v="0"/>
    <n v="0"/>
    <x v="1"/>
    <n v="0"/>
    <x v="1"/>
  </r>
  <r>
    <x v="316"/>
    <n v="101"/>
    <x v="0"/>
    <x v="0"/>
    <x v="5"/>
    <n v="1"/>
    <x v="3"/>
    <x v="0"/>
    <n v="1"/>
    <x v="0"/>
    <n v="2"/>
    <x v="3"/>
    <n v="0"/>
    <x v="2"/>
  </r>
  <r>
    <x v="317"/>
    <n v="101"/>
    <x v="0"/>
    <x v="0"/>
    <x v="6"/>
    <n v="0"/>
    <x v="2"/>
    <x v="2"/>
    <n v="0"/>
    <x v="1"/>
    <n v="0"/>
    <x v="1"/>
    <n v="0"/>
    <x v="1"/>
  </r>
  <r>
    <x v="318"/>
    <n v="101"/>
    <x v="1"/>
    <x v="1"/>
    <x v="0"/>
    <n v="1"/>
    <x v="1"/>
    <x v="1"/>
    <n v="1"/>
    <x v="2"/>
    <n v="1"/>
    <x v="0"/>
    <n v="1"/>
    <x v="2"/>
  </r>
  <r>
    <x v="319"/>
    <n v="101"/>
    <x v="0"/>
    <x v="0"/>
    <x v="2"/>
    <n v="1"/>
    <x v="1"/>
    <x v="2"/>
    <n v="2"/>
    <x v="1"/>
    <n v="0"/>
    <x v="1"/>
    <n v="2"/>
    <x v="3"/>
  </r>
  <r>
    <x v="320"/>
    <n v="101"/>
    <x v="1"/>
    <x v="1"/>
    <x v="2"/>
    <n v="1"/>
    <x v="2"/>
    <x v="0"/>
    <n v="0"/>
    <x v="0"/>
    <n v="0"/>
    <x v="1"/>
    <n v="1"/>
    <x v="1"/>
  </r>
  <r>
    <x v="321"/>
    <n v="101"/>
    <x v="1"/>
    <x v="1"/>
    <x v="5"/>
    <n v="1"/>
    <x v="3"/>
    <x v="2"/>
    <n v="0"/>
    <x v="0"/>
    <n v="0"/>
    <x v="1"/>
    <n v="1"/>
    <x v="3"/>
  </r>
  <r>
    <x v="322"/>
    <n v="101"/>
    <x v="1"/>
    <x v="1"/>
    <x v="0"/>
    <n v="1"/>
    <x v="2"/>
    <x v="2"/>
    <n v="0"/>
    <x v="0"/>
    <n v="0"/>
    <x v="0"/>
    <n v="2"/>
    <x v="2"/>
  </r>
  <r>
    <x v="323"/>
    <n v="101"/>
    <x v="1"/>
    <x v="1"/>
    <x v="1"/>
    <n v="1"/>
    <x v="3"/>
    <x v="1"/>
    <n v="0"/>
    <x v="0"/>
    <n v="0"/>
    <x v="1"/>
    <n v="1"/>
    <x v="0"/>
  </r>
  <r>
    <x v="324"/>
    <n v="101"/>
    <x v="1"/>
    <x v="1"/>
    <x v="1"/>
    <n v="1"/>
    <x v="0"/>
    <x v="1"/>
    <n v="0"/>
    <x v="2"/>
    <n v="1"/>
    <x v="1"/>
    <n v="1"/>
    <x v="1"/>
  </r>
  <r>
    <x v="325"/>
    <n v="101"/>
    <x v="1"/>
    <x v="1"/>
    <x v="2"/>
    <n v="1"/>
    <x v="3"/>
    <x v="1"/>
    <n v="1"/>
    <x v="2"/>
    <n v="0"/>
    <x v="1"/>
    <n v="0"/>
    <x v="2"/>
  </r>
  <r>
    <x v="326"/>
    <n v="101"/>
    <x v="0"/>
    <x v="0"/>
    <x v="2"/>
    <n v="1"/>
    <x v="1"/>
    <x v="0"/>
    <n v="0"/>
    <x v="0"/>
    <n v="0"/>
    <x v="1"/>
    <n v="1"/>
    <x v="4"/>
  </r>
  <r>
    <x v="327"/>
    <n v="101"/>
    <x v="1"/>
    <x v="1"/>
    <x v="2"/>
    <n v="1"/>
    <x v="3"/>
    <x v="2"/>
    <n v="1"/>
    <x v="2"/>
    <n v="1"/>
    <x v="1"/>
    <n v="0"/>
    <x v="1"/>
  </r>
  <r>
    <x v="328"/>
    <n v="101"/>
    <x v="0"/>
    <x v="0"/>
    <x v="5"/>
    <n v="1"/>
    <x v="1"/>
    <x v="0"/>
    <n v="0"/>
    <x v="0"/>
    <n v="0"/>
    <x v="1"/>
    <n v="0"/>
    <x v="2"/>
  </r>
  <r>
    <x v="329"/>
    <n v="101"/>
    <x v="1"/>
    <x v="1"/>
    <x v="5"/>
    <n v="1"/>
    <x v="1"/>
    <x v="2"/>
    <n v="1"/>
    <x v="0"/>
    <n v="0"/>
    <x v="1"/>
    <n v="0"/>
    <x v="1"/>
  </r>
  <r>
    <x v="330"/>
    <n v="101"/>
    <x v="0"/>
    <x v="0"/>
    <x v="1"/>
    <n v="1"/>
    <x v="3"/>
    <x v="1"/>
    <n v="1"/>
    <x v="0"/>
    <n v="0"/>
    <x v="1"/>
    <n v="0"/>
    <x v="2"/>
  </r>
  <r>
    <x v="331"/>
    <n v="101"/>
    <x v="1"/>
    <x v="1"/>
    <x v="0"/>
    <n v="1"/>
    <x v="1"/>
    <x v="2"/>
    <n v="1"/>
    <x v="2"/>
    <n v="0"/>
    <x v="0"/>
    <n v="1"/>
    <x v="2"/>
  </r>
  <r>
    <x v="332"/>
    <n v="101"/>
    <x v="1"/>
    <x v="1"/>
    <x v="5"/>
    <n v="1"/>
    <x v="1"/>
    <x v="2"/>
    <n v="1"/>
    <x v="0"/>
    <n v="1"/>
    <x v="1"/>
    <n v="1"/>
    <x v="2"/>
  </r>
  <r>
    <x v="333"/>
    <n v="101"/>
    <x v="0"/>
    <x v="0"/>
    <x v="5"/>
    <n v="1"/>
    <x v="1"/>
    <x v="1"/>
    <n v="0"/>
    <x v="0"/>
    <n v="0"/>
    <x v="2"/>
    <n v="1"/>
    <x v="2"/>
  </r>
  <r>
    <x v="334"/>
    <n v="101"/>
    <x v="0"/>
    <x v="0"/>
    <x v="0"/>
    <n v="1"/>
    <x v="2"/>
    <x v="0"/>
    <n v="0"/>
    <x v="0"/>
    <n v="0"/>
    <x v="0"/>
    <n v="1"/>
    <x v="2"/>
  </r>
  <r>
    <x v="335"/>
    <n v="101"/>
    <x v="1"/>
    <x v="1"/>
    <x v="0"/>
    <n v="1"/>
    <x v="1"/>
    <x v="2"/>
    <n v="2"/>
    <x v="2"/>
    <n v="1"/>
    <x v="0"/>
    <n v="0"/>
    <x v="2"/>
  </r>
  <r>
    <x v="336"/>
    <n v="101"/>
    <x v="1"/>
    <x v="1"/>
    <x v="2"/>
    <n v="1"/>
    <x v="3"/>
    <x v="1"/>
    <n v="0"/>
    <x v="0"/>
    <n v="0"/>
    <x v="1"/>
    <n v="0"/>
    <x v="2"/>
  </r>
  <r>
    <x v="337"/>
    <n v="101"/>
    <x v="1"/>
    <x v="1"/>
    <x v="3"/>
    <n v="1"/>
    <x v="0"/>
    <x v="0"/>
    <n v="2"/>
    <x v="0"/>
    <n v="0"/>
    <x v="0"/>
    <n v="1"/>
    <x v="3"/>
  </r>
  <r>
    <x v="338"/>
    <n v="101"/>
    <x v="1"/>
    <x v="1"/>
    <x v="3"/>
    <n v="1"/>
    <x v="2"/>
    <x v="0"/>
    <n v="0"/>
    <x v="2"/>
    <n v="0"/>
    <x v="0"/>
    <n v="0"/>
    <x v="3"/>
  </r>
  <r>
    <x v="339"/>
    <n v="101"/>
    <x v="0"/>
    <x v="0"/>
    <x v="1"/>
    <n v="1"/>
    <x v="3"/>
    <x v="1"/>
    <n v="0"/>
    <x v="0"/>
    <n v="0"/>
    <x v="0"/>
    <n v="1"/>
    <x v="2"/>
  </r>
  <r>
    <x v="340"/>
    <n v="101"/>
    <x v="1"/>
    <x v="1"/>
    <x v="2"/>
    <n v="1"/>
    <x v="1"/>
    <x v="0"/>
    <n v="0"/>
    <x v="0"/>
    <n v="0"/>
    <x v="2"/>
    <n v="0"/>
    <x v="2"/>
  </r>
  <r>
    <x v="341"/>
    <n v="101"/>
    <x v="0"/>
    <x v="0"/>
    <x v="5"/>
    <n v="1"/>
    <x v="1"/>
    <x v="0"/>
    <n v="0"/>
    <x v="0"/>
    <n v="0"/>
    <x v="1"/>
    <n v="0"/>
    <x v="4"/>
  </r>
  <r>
    <x v="342"/>
    <n v="101"/>
    <x v="0"/>
    <x v="0"/>
    <x v="0"/>
    <n v="1"/>
    <x v="2"/>
    <x v="1"/>
    <n v="0"/>
    <x v="0"/>
    <n v="1"/>
    <x v="1"/>
    <n v="0"/>
    <x v="2"/>
  </r>
  <r>
    <x v="343"/>
    <n v="101"/>
    <x v="2"/>
    <x v="2"/>
    <x v="2"/>
    <n v="1"/>
    <x v="1"/>
    <x v="2"/>
    <n v="2"/>
    <x v="1"/>
    <n v="0"/>
    <x v="1"/>
    <n v="0"/>
    <x v="3"/>
  </r>
  <r>
    <x v="344"/>
    <n v="101"/>
    <x v="1"/>
    <x v="1"/>
    <x v="0"/>
    <n v="1"/>
    <x v="2"/>
    <x v="0"/>
    <n v="0"/>
    <x v="0"/>
    <n v="0"/>
    <x v="1"/>
    <n v="2"/>
    <x v="2"/>
  </r>
  <r>
    <x v="345"/>
    <n v="101"/>
    <x v="1"/>
    <x v="1"/>
    <x v="2"/>
    <n v="1"/>
    <x v="0"/>
    <x v="2"/>
    <n v="1"/>
    <x v="2"/>
    <n v="1"/>
    <x v="1"/>
    <n v="1"/>
    <x v="1"/>
  </r>
  <r>
    <x v="346"/>
    <n v="101"/>
    <x v="0"/>
    <x v="0"/>
    <x v="5"/>
    <n v="1"/>
    <x v="1"/>
    <x v="2"/>
    <n v="0"/>
    <x v="2"/>
    <n v="0"/>
    <x v="1"/>
    <n v="0"/>
    <x v="0"/>
  </r>
  <r>
    <x v="347"/>
    <n v="101"/>
    <x v="1"/>
    <x v="1"/>
    <x v="7"/>
    <n v="0"/>
    <x v="2"/>
    <x v="2"/>
    <n v="1"/>
    <x v="2"/>
    <n v="2"/>
    <x v="1"/>
    <n v="0"/>
    <x v="3"/>
  </r>
  <r>
    <x v="348"/>
    <n v="101"/>
    <x v="1"/>
    <x v="1"/>
    <x v="5"/>
    <n v="1"/>
    <x v="3"/>
    <x v="1"/>
    <n v="1"/>
    <x v="2"/>
    <n v="0"/>
    <x v="1"/>
    <n v="0"/>
    <x v="4"/>
  </r>
  <r>
    <x v="349"/>
    <n v="101"/>
    <x v="0"/>
    <x v="0"/>
    <x v="5"/>
    <n v="1"/>
    <x v="1"/>
    <x v="1"/>
    <n v="0"/>
    <x v="0"/>
    <n v="0"/>
    <x v="1"/>
    <n v="2"/>
    <x v="0"/>
  </r>
  <r>
    <x v="350"/>
    <n v="101"/>
    <x v="1"/>
    <x v="1"/>
    <x v="2"/>
    <n v="1"/>
    <x v="3"/>
    <x v="1"/>
    <n v="0"/>
    <x v="0"/>
    <n v="0"/>
    <x v="1"/>
    <n v="2"/>
    <x v="2"/>
  </r>
  <r>
    <x v="351"/>
    <n v="101"/>
    <x v="0"/>
    <x v="0"/>
    <x v="5"/>
    <n v="1"/>
    <x v="2"/>
    <x v="1"/>
    <n v="0"/>
    <x v="0"/>
    <n v="0"/>
    <x v="0"/>
    <n v="2"/>
    <x v="1"/>
  </r>
  <r>
    <x v="352"/>
    <n v="101"/>
    <x v="1"/>
    <x v="1"/>
    <x v="0"/>
    <n v="1"/>
    <x v="1"/>
    <x v="0"/>
    <n v="0"/>
    <x v="0"/>
    <n v="1"/>
    <x v="1"/>
    <n v="0"/>
    <x v="1"/>
  </r>
  <r>
    <x v="353"/>
    <n v="101"/>
    <x v="1"/>
    <x v="1"/>
    <x v="3"/>
    <n v="1"/>
    <x v="0"/>
    <x v="0"/>
    <n v="1"/>
    <x v="2"/>
    <n v="0"/>
    <x v="0"/>
    <n v="0"/>
    <x v="1"/>
  </r>
  <r>
    <x v="354"/>
    <n v="101"/>
    <x v="0"/>
    <x v="0"/>
    <x v="0"/>
    <n v="1"/>
    <x v="2"/>
    <x v="0"/>
    <n v="0"/>
    <x v="0"/>
    <n v="0"/>
    <x v="1"/>
    <n v="0"/>
    <x v="3"/>
  </r>
  <r>
    <x v="355"/>
    <n v="101"/>
    <x v="0"/>
    <x v="0"/>
    <x v="5"/>
    <n v="1"/>
    <x v="1"/>
    <x v="0"/>
    <n v="0"/>
    <x v="0"/>
    <n v="0"/>
    <x v="1"/>
    <n v="0"/>
    <x v="0"/>
  </r>
  <r>
    <x v="356"/>
    <n v="101"/>
    <x v="1"/>
    <x v="1"/>
    <x v="7"/>
    <n v="0"/>
    <x v="0"/>
    <x v="2"/>
    <n v="0"/>
    <x v="2"/>
    <n v="0"/>
    <x v="1"/>
    <n v="1"/>
    <x v="1"/>
  </r>
  <r>
    <x v="357"/>
    <n v="101"/>
    <x v="0"/>
    <x v="0"/>
    <x v="5"/>
    <n v="1"/>
    <x v="1"/>
    <x v="0"/>
    <n v="1"/>
    <x v="2"/>
    <n v="0"/>
    <x v="1"/>
    <n v="0"/>
    <x v="1"/>
  </r>
  <r>
    <x v="358"/>
    <n v="101"/>
    <x v="1"/>
    <x v="1"/>
    <x v="7"/>
    <n v="0"/>
    <x v="2"/>
    <x v="0"/>
    <n v="0"/>
    <x v="0"/>
    <n v="0"/>
    <x v="1"/>
    <n v="0"/>
    <x v="1"/>
  </r>
  <r>
    <x v="359"/>
    <n v="101"/>
    <x v="0"/>
    <x v="0"/>
    <x v="0"/>
    <n v="1"/>
    <x v="1"/>
    <x v="2"/>
    <n v="1"/>
    <x v="2"/>
    <n v="1"/>
    <x v="1"/>
    <n v="1"/>
    <x v="3"/>
  </r>
  <r>
    <x v="360"/>
    <n v="101"/>
    <x v="0"/>
    <x v="0"/>
    <x v="2"/>
    <n v="1"/>
    <x v="1"/>
    <x v="0"/>
    <n v="0"/>
    <x v="0"/>
    <n v="0"/>
    <x v="1"/>
    <n v="0"/>
    <x v="0"/>
  </r>
  <r>
    <x v="361"/>
    <n v="101"/>
    <x v="0"/>
    <x v="0"/>
    <x v="6"/>
    <n v="0"/>
    <x v="1"/>
    <x v="0"/>
    <n v="0"/>
    <x v="0"/>
    <n v="0"/>
    <x v="1"/>
    <n v="0"/>
    <x v="2"/>
  </r>
  <r>
    <x v="362"/>
    <n v="101"/>
    <x v="1"/>
    <x v="1"/>
    <x v="4"/>
    <n v="0"/>
    <x v="3"/>
    <x v="1"/>
    <n v="0"/>
    <x v="0"/>
    <n v="0"/>
    <x v="1"/>
    <n v="1"/>
    <x v="0"/>
  </r>
  <r>
    <x v="363"/>
    <n v="101"/>
    <x v="0"/>
    <x v="0"/>
    <x v="1"/>
    <n v="1"/>
    <x v="3"/>
    <x v="1"/>
    <n v="0"/>
    <x v="0"/>
    <n v="0"/>
    <x v="1"/>
    <n v="0"/>
    <x v="1"/>
  </r>
  <r>
    <x v="364"/>
    <n v="101"/>
    <x v="1"/>
    <x v="1"/>
    <x v="7"/>
    <n v="0"/>
    <x v="0"/>
    <x v="2"/>
    <n v="2"/>
    <x v="0"/>
    <n v="1"/>
    <x v="1"/>
    <n v="0"/>
    <x v="1"/>
  </r>
  <r>
    <x v="365"/>
    <n v="101"/>
    <x v="1"/>
    <x v="1"/>
    <x v="2"/>
    <n v="1"/>
    <x v="2"/>
    <x v="0"/>
    <n v="0"/>
    <x v="0"/>
    <n v="0"/>
    <x v="1"/>
    <n v="0"/>
    <x v="0"/>
  </r>
  <r>
    <x v="366"/>
    <n v="101"/>
    <x v="1"/>
    <x v="1"/>
    <x v="5"/>
    <n v="1"/>
    <x v="2"/>
    <x v="0"/>
    <n v="0"/>
    <x v="0"/>
    <n v="0"/>
    <x v="1"/>
    <n v="0"/>
    <x v="4"/>
  </r>
  <r>
    <x v="367"/>
    <n v="101"/>
    <x v="1"/>
    <x v="1"/>
    <x v="0"/>
    <n v="1"/>
    <x v="2"/>
    <x v="0"/>
    <n v="0"/>
    <x v="0"/>
    <n v="0"/>
    <x v="1"/>
    <n v="0"/>
    <x v="1"/>
  </r>
  <r>
    <x v="368"/>
    <n v="101"/>
    <x v="1"/>
    <x v="1"/>
    <x v="5"/>
    <n v="1"/>
    <x v="2"/>
    <x v="0"/>
    <n v="1"/>
    <x v="2"/>
    <n v="1"/>
    <x v="1"/>
    <n v="0"/>
    <x v="1"/>
  </r>
  <r>
    <x v="369"/>
    <n v="101"/>
    <x v="1"/>
    <x v="1"/>
    <x v="1"/>
    <n v="1"/>
    <x v="1"/>
    <x v="1"/>
    <n v="1"/>
    <x v="2"/>
    <n v="1"/>
    <x v="0"/>
    <n v="1"/>
    <x v="2"/>
  </r>
  <r>
    <x v="370"/>
    <n v="101"/>
    <x v="0"/>
    <x v="0"/>
    <x v="5"/>
    <n v="1"/>
    <x v="1"/>
    <x v="1"/>
    <n v="1"/>
    <x v="2"/>
    <n v="0"/>
    <x v="1"/>
    <n v="1"/>
    <x v="2"/>
  </r>
  <r>
    <x v="371"/>
    <n v="101"/>
    <x v="1"/>
    <x v="1"/>
    <x v="1"/>
    <n v="1"/>
    <x v="2"/>
    <x v="1"/>
    <n v="1"/>
    <x v="2"/>
    <n v="0"/>
    <x v="0"/>
    <n v="0"/>
    <x v="2"/>
  </r>
  <r>
    <x v="372"/>
    <n v="101"/>
    <x v="1"/>
    <x v="1"/>
    <x v="1"/>
    <n v="1"/>
    <x v="3"/>
    <x v="2"/>
    <n v="0"/>
    <x v="2"/>
    <n v="2"/>
    <x v="0"/>
    <n v="0"/>
    <x v="1"/>
  </r>
  <r>
    <x v="373"/>
    <n v="101"/>
    <x v="1"/>
    <x v="1"/>
    <x v="1"/>
    <n v="1"/>
    <x v="0"/>
    <x v="1"/>
    <n v="0"/>
    <x v="0"/>
    <n v="0"/>
    <x v="1"/>
    <n v="0"/>
    <x v="4"/>
  </r>
  <r>
    <x v="374"/>
    <n v="101"/>
    <x v="1"/>
    <x v="1"/>
    <x v="0"/>
    <n v="1"/>
    <x v="1"/>
    <x v="1"/>
    <n v="0"/>
    <x v="0"/>
    <n v="0"/>
    <x v="1"/>
    <n v="2"/>
    <x v="2"/>
  </r>
  <r>
    <x v="375"/>
    <n v="101"/>
    <x v="1"/>
    <x v="1"/>
    <x v="0"/>
    <n v="1"/>
    <x v="3"/>
    <x v="2"/>
    <n v="0"/>
    <x v="0"/>
    <n v="0"/>
    <x v="1"/>
    <n v="0"/>
    <x v="1"/>
  </r>
  <r>
    <x v="376"/>
    <n v="101"/>
    <x v="1"/>
    <x v="1"/>
    <x v="2"/>
    <n v="1"/>
    <x v="1"/>
    <x v="1"/>
    <n v="2"/>
    <x v="0"/>
    <n v="1"/>
    <x v="1"/>
    <n v="0"/>
    <x v="1"/>
  </r>
  <r>
    <x v="377"/>
    <n v="101"/>
    <x v="1"/>
    <x v="1"/>
    <x v="5"/>
    <n v="1"/>
    <x v="2"/>
    <x v="0"/>
    <n v="0"/>
    <x v="0"/>
    <n v="0"/>
    <x v="1"/>
    <n v="0"/>
    <x v="3"/>
  </r>
  <r>
    <x v="378"/>
    <n v="101"/>
    <x v="0"/>
    <x v="0"/>
    <x v="5"/>
    <n v="1"/>
    <x v="1"/>
    <x v="0"/>
    <n v="0"/>
    <x v="0"/>
    <n v="0"/>
    <x v="1"/>
    <n v="0"/>
    <x v="0"/>
  </r>
  <r>
    <x v="379"/>
    <n v="101"/>
    <x v="1"/>
    <x v="1"/>
    <x v="7"/>
    <n v="1"/>
    <x v="2"/>
    <x v="1"/>
    <n v="1"/>
    <x v="0"/>
    <n v="0"/>
    <x v="1"/>
    <n v="1"/>
    <x v="1"/>
  </r>
  <r>
    <x v="380"/>
    <n v="101"/>
    <x v="0"/>
    <x v="0"/>
    <x v="1"/>
    <n v="1"/>
    <x v="2"/>
    <x v="2"/>
    <n v="0"/>
    <x v="0"/>
    <n v="0"/>
    <x v="1"/>
    <n v="0"/>
    <x v="1"/>
  </r>
  <r>
    <x v="381"/>
    <n v="101"/>
    <x v="1"/>
    <x v="1"/>
    <x v="0"/>
    <n v="1"/>
    <x v="3"/>
    <x v="0"/>
    <n v="0"/>
    <x v="0"/>
    <n v="0"/>
    <x v="1"/>
    <n v="0"/>
    <x v="1"/>
  </r>
  <r>
    <x v="382"/>
    <n v="101"/>
    <x v="0"/>
    <x v="0"/>
    <x v="2"/>
    <n v="1"/>
    <x v="1"/>
    <x v="0"/>
    <n v="0"/>
    <x v="0"/>
    <n v="0"/>
    <x v="1"/>
    <n v="1"/>
    <x v="0"/>
  </r>
  <r>
    <x v="383"/>
    <n v="101"/>
    <x v="0"/>
    <x v="0"/>
    <x v="0"/>
    <n v="1"/>
    <x v="3"/>
    <x v="0"/>
    <n v="0"/>
    <x v="0"/>
    <n v="0"/>
    <x v="1"/>
    <n v="1"/>
    <x v="2"/>
  </r>
  <r>
    <x v="384"/>
    <n v="101"/>
    <x v="1"/>
    <x v="1"/>
    <x v="0"/>
    <n v="1"/>
    <x v="2"/>
    <x v="1"/>
    <n v="0"/>
    <x v="0"/>
    <n v="0"/>
    <x v="1"/>
    <n v="0"/>
    <x v="4"/>
  </r>
  <r>
    <x v="385"/>
    <n v="101"/>
    <x v="0"/>
    <x v="0"/>
    <x v="0"/>
    <n v="1"/>
    <x v="2"/>
    <x v="2"/>
    <n v="1"/>
    <x v="2"/>
    <n v="0"/>
    <x v="0"/>
    <n v="2"/>
    <x v="2"/>
  </r>
  <r>
    <x v="386"/>
    <n v="101"/>
    <x v="0"/>
    <x v="0"/>
    <x v="5"/>
    <n v="1"/>
    <x v="2"/>
    <x v="2"/>
    <n v="1"/>
    <x v="2"/>
    <n v="0"/>
    <x v="1"/>
    <n v="0"/>
    <x v="0"/>
  </r>
  <r>
    <x v="387"/>
    <n v="101"/>
    <x v="0"/>
    <x v="0"/>
    <x v="4"/>
    <n v="0"/>
    <x v="1"/>
    <x v="0"/>
    <n v="0"/>
    <x v="0"/>
    <n v="0"/>
    <x v="0"/>
    <n v="1"/>
    <x v="0"/>
  </r>
  <r>
    <x v="388"/>
    <n v="101"/>
    <x v="0"/>
    <x v="0"/>
    <x v="5"/>
    <n v="1"/>
    <x v="2"/>
    <x v="1"/>
    <n v="0"/>
    <x v="2"/>
    <n v="0"/>
    <x v="1"/>
    <n v="0"/>
    <x v="0"/>
  </r>
  <r>
    <x v="389"/>
    <n v="101"/>
    <x v="1"/>
    <x v="1"/>
    <x v="0"/>
    <n v="1"/>
    <x v="3"/>
    <x v="0"/>
    <n v="0"/>
    <x v="0"/>
    <n v="0"/>
    <x v="1"/>
    <n v="0"/>
    <x v="2"/>
  </r>
  <r>
    <x v="390"/>
    <n v="101"/>
    <x v="0"/>
    <x v="0"/>
    <x v="1"/>
    <n v="1"/>
    <x v="1"/>
    <x v="0"/>
    <n v="0"/>
    <x v="0"/>
    <n v="0"/>
    <x v="1"/>
    <n v="0"/>
    <x v="2"/>
  </r>
  <r>
    <x v="391"/>
    <n v="101"/>
    <x v="1"/>
    <x v="1"/>
    <x v="1"/>
    <n v="1"/>
    <x v="2"/>
    <x v="1"/>
    <n v="0"/>
    <x v="0"/>
    <n v="1"/>
    <x v="0"/>
    <n v="2"/>
    <x v="2"/>
  </r>
  <r>
    <x v="392"/>
    <n v="101"/>
    <x v="0"/>
    <x v="0"/>
    <x v="2"/>
    <n v="1"/>
    <x v="3"/>
    <x v="1"/>
    <n v="1"/>
    <x v="2"/>
    <n v="0"/>
    <x v="1"/>
    <n v="0"/>
    <x v="0"/>
  </r>
  <r>
    <x v="393"/>
    <n v="101"/>
    <x v="1"/>
    <x v="1"/>
    <x v="5"/>
    <n v="1"/>
    <x v="1"/>
    <x v="2"/>
    <n v="2"/>
    <x v="2"/>
    <n v="2"/>
    <x v="1"/>
    <n v="0"/>
    <x v="1"/>
  </r>
  <r>
    <x v="394"/>
    <n v="101"/>
    <x v="1"/>
    <x v="1"/>
    <x v="7"/>
    <n v="0"/>
    <x v="1"/>
    <x v="1"/>
    <n v="1"/>
    <x v="0"/>
    <n v="1"/>
    <x v="0"/>
    <n v="1"/>
    <x v="1"/>
  </r>
  <r>
    <x v="395"/>
    <n v="101"/>
    <x v="0"/>
    <x v="0"/>
    <x v="5"/>
    <n v="1"/>
    <x v="3"/>
    <x v="0"/>
    <n v="0"/>
    <x v="0"/>
    <n v="0"/>
    <x v="1"/>
    <n v="0"/>
    <x v="4"/>
  </r>
  <r>
    <x v="396"/>
    <n v="101"/>
    <x v="1"/>
    <x v="1"/>
    <x v="2"/>
    <n v="1"/>
    <x v="1"/>
    <x v="0"/>
    <n v="0"/>
    <x v="0"/>
    <n v="0"/>
    <x v="1"/>
    <n v="1"/>
    <x v="2"/>
  </r>
  <r>
    <x v="397"/>
    <n v="101"/>
    <x v="1"/>
    <x v="1"/>
    <x v="0"/>
    <n v="1"/>
    <x v="3"/>
    <x v="2"/>
    <n v="0"/>
    <x v="2"/>
    <n v="0"/>
    <x v="1"/>
    <n v="0"/>
    <x v="1"/>
  </r>
  <r>
    <x v="398"/>
    <n v="101"/>
    <x v="0"/>
    <x v="0"/>
    <x v="2"/>
    <n v="1"/>
    <x v="3"/>
    <x v="2"/>
    <n v="2"/>
    <x v="2"/>
    <n v="1"/>
    <x v="0"/>
    <n v="1"/>
    <x v="0"/>
  </r>
  <r>
    <x v="399"/>
    <n v="101"/>
    <x v="1"/>
    <x v="1"/>
    <x v="2"/>
    <n v="1"/>
    <x v="3"/>
    <x v="1"/>
    <n v="0"/>
    <x v="0"/>
    <n v="1"/>
    <x v="1"/>
    <n v="0"/>
    <x v="1"/>
  </r>
  <r>
    <x v="400"/>
    <n v="101"/>
    <x v="1"/>
    <x v="1"/>
    <x v="0"/>
    <n v="1"/>
    <x v="3"/>
    <x v="2"/>
    <n v="0"/>
    <x v="0"/>
    <n v="0"/>
    <x v="1"/>
    <n v="0"/>
    <x v="2"/>
  </r>
  <r>
    <x v="401"/>
    <n v="101"/>
    <x v="0"/>
    <x v="0"/>
    <x v="2"/>
    <n v="1"/>
    <x v="1"/>
    <x v="0"/>
    <n v="0"/>
    <x v="0"/>
    <n v="0"/>
    <x v="1"/>
    <n v="0"/>
    <x v="1"/>
  </r>
  <r>
    <x v="402"/>
    <n v="101"/>
    <x v="0"/>
    <x v="0"/>
    <x v="4"/>
    <n v="0"/>
    <x v="1"/>
    <x v="1"/>
    <n v="0"/>
    <x v="0"/>
    <n v="0"/>
    <x v="1"/>
    <n v="0"/>
    <x v="3"/>
  </r>
  <r>
    <x v="403"/>
    <n v="101"/>
    <x v="0"/>
    <x v="0"/>
    <x v="1"/>
    <n v="1"/>
    <x v="3"/>
    <x v="0"/>
    <n v="0"/>
    <x v="0"/>
    <n v="1"/>
    <x v="0"/>
    <n v="1"/>
    <x v="2"/>
  </r>
  <r>
    <x v="404"/>
    <n v="101"/>
    <x v="0"/>
    <x v="0"/>
    <x v="0"/>
    <n v="1"/>
    <x v="1"/>
    <x v="0"/>
    <n v="0"/>
    <x v="0"/>
    <n v="0"/>
    <x v="1"/>
    <n v="0"/>
    <x v="4"/>
  </r>
  <r>
    <x v="405"/>
    <n v="101"/>
    <x v="0"/>
    <x v="0"/>
    <x v="2"/>
    <n v="1"/>
    <x v="2"/>
    <x v="0"/>
    <n v="0"/>
    <x v="0"/>
    <n v="0"/>
    <x v="1"/>
    <n v="0"/>
    <x v="0"/>
  </r>
  <r>
    <x v="406"/>
    <n v="101"/>
    <x v="1"/>
    <x v="1"/>
    <x v="4"/>
    <n v="0"/>
    <x v="1"/>
    <x v="1"/>
    <n v="0"/>
    <x v="1"/>
    <n v="0"/>
    <x v="0"/>
    <n v="1"/>
    <x v="0"/>
  </r>
  <r>
    <x v="407"/>
    <n v="101"/>
    <x v="1"/>
    <x v="1"/>
    <x v="5"/>
    <n v="1"/>
    <x v="3"/>
    <x v="0"/>
    <n v="0"/>
    <x v="2"/>
    <n v="0"/>
    <x v="1"/>
    <n v="0"/>
    <x v="0"/>
  </r>
  <r>
    <x v="408"/>
    <n v="101"/>
    <x v="1"/>
    <x v="1"/>
    <x v="1"/>
    <n v="1"/>
    <x v="2"/>
    <x v="0"/>
    <n v="0"/>
    <x v="0"/>
    <n v="0"/>
    <x v="1"/>
    <n v="0"/>
    <x v="2"/>
  </r>
  <r>
    <x v="409"/>
    <n v="101"/>
    <x v="0"/>
    <x v="0"/>
    <x v="2"/>
    <n v="1"/>
    <x v="1"/>
    <x v="0"/>
    <n v="0"/>
    <x v="0"/>
    <n v="1"/>
    <x v="1"/>
    <n v="0"/>
    <x v="2"/>
  </r>
  <r>
    <x v="410"/>
    <n v="101"/>
    <x v="0"/>
    <x v="0"/>
    <x v="1"/>
    <n v="1"/>
    <x v="1"/>
    <x v="2"/>
    <n v="0"/>
    <x v="0"/>
    <n v="0"/>
    <x v="1"/>
    <n v="0"/>
    <x v="2"/>
  </r>
  <r>
    <x v="411"/>
    <n v="101"/>
    <x v="1"/>
    <x v="1"/>
    <x v="0"/>
    <n v="1"/>
    <x v="2"/>
    <x v="2"/>
    <n v="1"/>
    <x v="2"/>
    <n v="0"/>
    <x v="0"/>
    <n v="2"/>
    <x v="3"/>
  </r>
  <r>
    <x v="412"/>
    <n v="101"/>
    <x v="1"/>
    <x v="1"/>
    <x v="2"/>
    <n v="1"/>
    <x v="3"/>
    <x v="0"/>
    <n v="0"/>
    <x v="0"/>
    <n v="0"/>
    <x v="1"/>
    <n v="0"/>
    <x v="3"/>
  </r>
  <r>
    <x v="413"/>
    <n v="101"/>
    <x v="0"/>
    <x v="0"/>
    <x v="5"/>
    <n v="1"/>
    <x v="1"/>
    <x v="1"/>
    <n v="0"/>
    <x v="0"/>
    <n v="0"/>
    <x v="1"/>
    <n v="0"/>
    <x v="1"/>
  </r>
  <r>
    <x v="414"/>
    <n v="101"/>
    <x v="1"/>
    <x v="1"/>
    <x v="1"/>
    <n v="1"/>
    <x v="1"/>
    <x v="0"/>
    <n v="0"/>
    <x v="0"/>
    <n v="0"/>
    <x v="1"/>
    <n v="0"/>
    <x v="0"/>
  </r>
  <r>
    <x v="415"/>
    <n v="101"/>
    <x v="0"/>
    <x v="0"/>
    <x v="2"/>
    <n v="1"/>
    <x v="2"/>
    <x v="2"/>
    <n v="1"/>
    <x v="0"/>
    <n v="0"/>
    <x v="1"/>
    <n v="0"/>
    <x v="1"/>
  </r>
  <r>
    <x v="416"/>
    <n v="101"/>
    <x v="1"/>
    <x v="1"/>
    <x v="1"/>
    <n v="1"/>
    <x v="1"/>
    <x v="0"/>
    <n v="0"/>
    <x v="0"/>
    <n v="0"/>
    <x v="1"/>
    <n v="1"/>
    <x v="0"/>
  </r>
  <r>
    <x v="417"/>
    <n v="101"/>
    <x v="1"/>
    <x v="1"/>
    <x v="5"/>
    <n v="1"/>
    <x v="1"/>
    <x v="0"/>
    <n v="0"/>
    <x v="0"/>
    <n v="0"/>
    <x v="1"/>
    <n v="0"/>
    <x v="2"/>
  </r>
  <r>
    <x v="418"/>
    <n v="101"/>
    <x v="1"/>
    <x v="1"/>
    <x v="1"/>
    <n v="1"/>
    <x v="2"/>
    <x v="1"/>
    <n v="0"/>
    <x v="0"/>
    <n v="0"/>
    <x v="1"/>
    <n v="0"/>
    <x v="2"/>
  </r>
  <r>
    <x v="419"/>
    <n v="101"/>
    <x v="1"/>
    <x v="1"/>
    <x v="5"/>
    <n v="1"/>
    <x v="3"/>
    <x v="1"/>
    <n v="0"/>
    <x v="2"/>
    <n v="1"/>
    <x v="1"/>
    <n v="0"/>
    <x v="2"/>
  </r>
  <r>
    <x v="420"/>
    <n v="101"/>
    <x v="1"/>
    <x v="1"/>
    <x v="0"/>
    <n v="1"/>
    <x v="2"/>
    <x v="1"/>
    <n v="0"/>
    <x v="0"/>
    <n v="0"/>
    <x v="1"/>
    <n v="0"/>
    <x v="2"/>
  </r>
  <r>
    <x v="421"/>
    <n v="101"/>
    <x v="1"/>
    <x v="1"/>
    <x v="0"/>
    <n v="1"/>
    <x v="1"/>
    <x v="1"/>
    <n v="1"/>
    <x v="0"/>
    <n v="1"/>
    <x v="1"/>
    <n v="1"/>
    <x v="1"/>
  </r>
  <r>
    <x v="422"/>
    <n v="101"/>
    <x v="1"/>
    <x v="1"/>
    <x v="1"/>
    <n v="1"/>
    <x v="2"/>
    <x v="2"/>
    <n v="1"/>
    <x v="2"/>
    <n v="1"/>
    <x v="1"/>
    <n v="0"/>
    <x v="2"/>
  </r>
  <r>
    <x v="423"/>
    <n v="101"/>
    <x v="1"/>
    <x v="1"/>
    <x v="1"/>
    <n v="1"/>
    <x v="1"/>
    <x v="1"/>
    <n v="1"/>
    <x v="0"/>
    <n v="0"/>
    <x v="0"/>
    <n v="1"/>
    <x v="1"/>
  </r>
  <r>
    <x v="424"/>
    <n v="101"/>
    <x v="1"/>
    <x v="1"/>
    <x v="3"/>
    <n v="1"/>
    <x v="2"/>
    <x v="0"/>
    <n v="0"/>
    <x v="0"/>
    <n v="0"/>
    <x v="1"/>
    <n v="0"/>
    <x v="1"/>
  </r>
  <r>
    <x v="425"/>
    <n v="101"/>
    <x v="1"/>
    <x v="1"/>
    <x v="0"/>
    <n v="1"/>
    <x v="1"/>
    <x v="0"/>
    <n v="0"/>
    <x v="0"/>
    <n v="0"/>
    <x v="1"/>
    <n v="0"/>
    <x v="1"/>
  </r>
  <r>
    <x v="426"/>
    <n v="101"/>
    <x v="0"/>
    <x v="0"/>
    <x v="5"/>
    <n v="1"/>
    <x v="1"/>
    <x v="0"/>
    <n v="0"/>
    <x v="0"/>
    <n v="0"/>
    <x v="1"/>
    <n v="1"/>
    <x v="2"/>
  </r>
  <r>
    <x v="427"/>
    <n v="101"/>
    <x v="1"/>
    <x v="1"/>
    <x v="0"/>
    <n v="1"/>
    <x v="3"/>
    <x v="0"/>
    <n v="0"/>
    <x v="0"/>
    <n v="0"/>
    <x v="1"/>
    <n v="0"/>
    <x v="2"/>
  </r>
  <r>
    <x v="428"/>
    <n v="101"/>
    <x v="1"/>
    <x v="1"/>
    <x v="0"/>
    <n v="1"/>
    <x v="2"/>
    <x v="2"/>
    <n v="2"/>
    <x v="2"/>
    <n v="2"/>
    <x v="1"/>
    <n v="0"/>
    <x v="0"/>
  </r>
  <r>
    <x v="429"/>
    <n v="101"/>
    <x v="0"/>
    <x v="0"/>
    <x v="0"/>
    <n v="1"/>
    <x v="2"/>
    <x v="0"/>
    <n v="0"/>
    <x v="0"/>
    <n v="0"/>
    <x v="2"/>
    <n v="2"/>
    <x v="2"/>
  </r>
  <r>
    <x v="430"/>
    <n v="101"/>
    <x v="0"/>
    <x v="0"/>
    <x v="2"/>
    <n v="1"/>
    <x v="2"/>
    <x v="0"/>
    <n v="0"/>
    <x v="0"/>
    <n v="0"/>
    <x v="1"/>
    <n v="0"/>
    <x v="1"/>
  </r>
  <r>
    <x v="431"/>
    <n v="101"/>
    <x v="0"/>
    <x v="0"/>
    <x v="5"/>
    <n v="1"/>
    <x v="0"/>
    <x v="1"/>
    <n v="1"/>
    <x v="0"/>
    <n v="0"/>
    <x v="1"/>
    <n v="1"/>
    <x v="2"/>
  </r>
  <r>
    <x v="432"/>
    <n v="101"/>
    <x v="0"/>
    <x v="0"/>
    <x v="3"/>
    <n v="1"/>
    <x v="1"/>
    <x v="0"/>
    <n v="0"/>
    <x v="0"/>
    <n v="0"/>
    <x v="1"/>
    <n v="1"/>
    <x v="2"/>
  </r>
  <r>
    <x v="433"/>
    <n v="101"/>
    <x v="0"/>
    <x v="0"/>
    <x v="4"/>
    <n v="0"/>
    <x v="1"/>
    <x v="0"/>
    <n v="0"/>
    <x v="0"/>
    <n v="0"/>
    <x v="1"/>
    <n v="0"/>
    <x v="3"/>
  </r>
  <r>
    <x v="434"/>
    <n v="101"/>
    <x v="1"/>
    <x v="1"/>
    <x v="5"/>
    <n v="1"/>
    <x v="1"/>
    <x v="2"/>
    <n v="1"/>
    <x v="0"/>
    <n v="1"/>
    <x v="1"/>
    <n v="0"/>
    <x v="2"/>
  </r>
  <r>
    <x v="435"/>
    <n v="101"/>
    <x v="1"/>
    <x v="1"/>
    <x v="0"/>
    <n v="1"/>
    <x v="3"/>
    <x v="0"/>
    <n v="0"/>
    <x v="0"/>
    <n v="0"/>
    <x v="1"/>
    <n v="0"/>
    <x v="1"/>
  </r>
  <r>
    <x v="436"/>
    <n v="101"/>
    <x v="0"/>
    <x v="0"/>
    <x v="2"/>
    <n v="1"/>
    <x v="2"/>
    <x v="0"/>
    <n v="0"/>
    <x v="0"/>
    <n v="0"/>
    <x v="1"/>
    <n v="0"/>
    <x v="2"/>
  </r>
  <r>
    <x v="437"/>
    <n v="101"/>
    <x v="1"/>
    <x v="1"/>
    <x v="1"/>
    <n v="1"/>
    <x v="1"/>
    <x v="0"/>
    <n v="1"/>
    <x v="0"/>
    <n v="0"/>
    <x v="2"/>
    <n v="2"/>
    <x v="2"/>
  </r>
  <r>
    <x v="438"/>
    <n v="101"/>
    <x v="1"/>
    <x v="1"/>
    <x v="2"/>
    <n v="1"/>
    <x v="1"/>
    <x v="2"/>
    <n v="1"/>
    <x v="2"/>
    <n v="1"/>
    <x v="1"/>
    <n v="0"/>
    <x v="1"/>
  </r>
  <r>
    <x v="439"/>
    <n v="101"/>
    <x v="1"/>
    <x v="1"/>
    <x v="5"/>
    <n v="1"/>
    <x v="2"/>
    <x v="0"/>
    <n v="0"/>
    <x v="0"/>
    <n v="0"/>
    <x v="1"/>
    <n v="1"/>
    <x v="0"/>
  </r>
  <r>
    <x v="440"/>
    <n v="101"/>
    <x v="0"/>
    <x v="0"/>
    <x v="3"/>
    <n v="1"/>
    <x v="2"/>
    <x v="2"/>
    <n v="1"/>
    <x v="0"/>
    <n v="1"/>
    <x v="0"/>
    <n v="2"/>
    <x v="2"/>
  </r>
  <r>
    <x v="441"/>
    <n v="101"/>
    <x v="1"/>
    <x v="1"/>
    <x v="7"/>
    <n v="1"/>
    <x v="1"/>
    <x v="2"/>
    <n v="1"/>
    <x v="2"/>
    <n v="1"/>
    <x v="0"/>
    <n v="1"/>
    <x v="1"/>
  </r>
  <r>
    <x v="442"/>
    <n v="101"/>
    <x v="1"/>
    <x v="1"/>
    <x v="1"/>
    <n v="1"/>
    <x v="3"/>
    <x v="1"/>
    <n v="0"/>
    <x v="0"/>
    <n v="0"/>
    <x v="1"/>
    <n v="0"/>
    <x v="1"/>
  </r>
  <r>
    <x v="443"/>
    <n v="101"/>
    <x v="0"/>
    <x v="0"/>
    <x v="1"/>
    <n v="1"/>
    <x v="1"/>
    <x v="2"/>
    <n v="1"/>
    <x v="2"/>
    <n v="0"/>
    <x v="1"/>
    <n v="0"/>
    <x v="1"/>
  </r>
  <r>
    <x v="444"/>
    <n v="101"/>
    <x v="0"/>
    <x v="0"/>
    <x v="1"/>
    <n v="1"/>
    <x v="3"/>
    <x v="2"/>
    <n v="1"/>
    <x v="2"/>
    <n v="0"/>
    <x v="1"/>
    <n v="1"/>
    <x v="1"/>
  </r>
  <r>
    <x v="445"/>
    <n v="101"/>
    <x v="0"/>
    <x v="0"/>
    <x v="3"/>
    <n v="1"/>
    <x v="2"/>
    <x v="0"/>
    <n v="0"/>
    <x v="0"/>
    <n v="0"/>
    <x v="1"/>
    <n v="0"/>
    <x v="4"/>
  </r>
  <r>
    <x v="446"/>
    <n v="101"/>
    <x v="1"/>
    <x v="1"/>
    <x v="5"/>
    <n v="1"/>
    <x v="1"/>
    <x v="1"/>
    <n v="0"/>
    <x v="0"/>
    <n v="0"/>
    <x v="1"/>
    <n v="0"/>
    <x v="3"/>
  </r>
  <r>
    <x v="447"/>
    <n v="101"/>
    <x v="0"/>
    <x v="0"/>
    <x v="2"/>
    <n v="1"/>
    <x v="1"/>
    <x v="1"/>
    <n v="0"/>
    <x v="0"/>
    <n v="0"/>
    <x v="1"/>
    <n v="0"/>
    <x v="0"/>
  </r>
  <r>
    <x v="448"/>
    <n v="101"/>
    <x v="1"/>
    <x v="1"/>
    <x v="1"/>
    <n v="1"/>
    <x v="3"/>
    <x v="1"/>
    <n v="0"/>
    <x v="0"/>
    <n v="99"/>
    <x v="0"/>
    <n v="1"/>
    <x v="1"/>
  </r>
  <r>
    <x v="449"/>
    <n v="101"/>
    <x v="0"/>
    <x v="0"/>
    <x v="3"/>
    <n v="1"/>
    <x v="2"/>
    <x v="1"/>
    <n v="0"/>
    <x v="0"/>
    <n v="0"/>
    <x v="0"/>
    <n v="2"/>
    <x v="3"/>
  </r>
  <r>
    <x v="450"/>
    <n v="101"/>
    <x v="1"/>
    <x v="1"/>
    <x v="0"/>
    <n v="1"/>
    <x v="1"/>
    <x v="0"/>
    <n v="0"/>
    <x v="0"/>
    <n v="0"/>
    <x v="1"/>
    <n v="0"/>
    <x v="2"/>
  </r>
  <r>
    <x v="451"/>
    <n v="101"/>
    <x v="1"/>
    <x v="1"/>
    <x v="0"/>
    <n v="1"/>
    <x v="2"/>
    <x v="1"/>
    <n v="0"/>
    <x v="0"/>
    <n v="1"/>
    <x v="1"/>
    <n v="1"/>
    <x v="2"/>
  </r>
  <r>
    <x v="452"/>
    <n v="101"/>
    <x v="1"/>
    <x v="1"/>
    <x v="0"/>
    <n v="1"/>
    <x v="2"/>
    <x v="2"/>
    <n v="2"/>
    <x v="2"/>
    <n v="99"/>
    <x v="0"/>
    <n v="1"/>
    <x v="1"/>
  </r>
  <r>
    <x v="453"/>
    <n v="101"/>
    <x v="0"/>
    <x v="0"/>
    <x v="2"/>
    <n v="1"/>
    <x v="0"/>
    <x v="1"/>
    <n v="0"/>
    <x v="0"/>
    <n v="0"/>
    <x v="1"/>
    <n v="0"/>
    <x v="4"/>
  </r>
  <r>
    <x v="454"/>
    <n v="101"/>
    <x v="1"/>
    <x v="1"/>
    <x v="1"/>
    <n v="1"/>
    <x v="1"/>
    <x v="1"/>
    <n v="1"/>
    <x v="0"/>
    <n v="0"/>
    <x v="1"/>
    <n v="0"/>
    <x v="0"/>
  </r>
  <r>
    <x v="455"/>
    <n v="101"/>
    <x v="1"/>
    <x v="1"/>
    <x v="1"/>
    <n v="1"/>
    <x v="1"/>
    <x v="2"/>
    <n v="1"/>
    <x v="1"/>
    <n v="2"/>
    <x v="1"/>
    <n v="0"/>
    <x v="0"/>
  </r>
  <r>
    <x v="456"/>
    <n v="101"/>
    <x v="0"/>
    <x v="0"/>
    <x v="0"/>
    <n v="1"/>
    <x v="2"/>
    <x v="2"/>
    <n v="0"/>
    <x v="2"/>
    <n v="0"/>
    <x v="1"/>
    <n v="0"/>
    <x v="3"/>
  </r>
  <r>
    <x v="457"/>
    <n v="101"/>
    <x v="1"/>
    <x v="1"/>
    <x v="7"/>
    <n v="1"/>
    <x v="2"/>
    <x v="2"/>
    <n v="1"/>
    <x v="2"/>
    <n v="1"/>
    <x v="2"/>
    <n v="1"/>
    <x v="1"/>
  </r>
  <r>
    <x v="458"/>
    <n v="101"/>
    <x v="1"/>
    <x v="1"/>
    <x v="2"/>
    <n v="1"/>
    <x v="3"/>
    <x v="0"/>
    <n v="0"/>
    <x v="0"/>
    <n v="0"/>
    <x v="0"/>
    <n v="0"/>
    <x v="3"/>
  </r>
  <r>
    <x v="459"/>
    <n v="101"/>
    <x v="1"/>
    <x v="1"/>
    <x v="2"/>
    <n v="1"/>
    <x v="3"/>
    <x v="2"/>
    <n v="1"/>
    <x v="2"/>
    <n v="2"/>
    <x v="1"/>
    <n v="0"/>
    <x v="2"/>
  </r>
  <r>
    <x v="460"/>
    <n v="101"/>
    <x v="1"/>
    <x v="1"/>
    <x v="1"/>
    <n v="1"/>
    <x v="3"/>
    <x v="2"/>
    <n v="1"/>
    <x v="2"/>
    <n v="1"/>
    <x v="1"/>
    <n v="1"/>
    <x v="2"/>
  </r>
  <r>
    <x v="461"/>
    <n v="101"/>
    <x v="0"/>
    <x v="0"/>
    <x v="5"/>
    <n v="1"/>
    <x v="3"/>
    <x v="0"/>
    <n v="0"/>
    <x v="0"/>
    <n v="0"/>
    <x v="1"/>
    <n v="2"/>
    <x v="4"/>
  </r>
  <r>
    <x v="462"/>
    <n v="101"/>
    <x v="1"/>
    <x v="1"/>
    <x v="5"/>
    <n v="1"/>
    <x v="3"/>
    <x v="1"/>
    <n v="0"/>
    <x v="0"/>
    <n v="0"/>
    <x v="1"/>
    <n v="0"/>
    <x v="2"/>
  </r>
  <r>
    <x v="463"/>
    <n v="101"/>
    <x v="1"/>
    <x v="1"/>
    <x v="2"/>
    <n v="1"/>
    <x v="2"/>
    <x v="2"/>
    <n v="1"/>
    <x v="2"/>
    <n v="0"/>
    <x v="0"/>
    <n v="0"/>
    <x v="3"/>
  </r>
  <r>
    <x v="464"/>
    <n v="101"/>
    <x v="0"/>
    <x v="0"/>
    <x v="1"/>
    <n v="1"/>
    <x v="2"/>
    <x v="2"/>
    <n v="1"/>
    <x v="2"/>
    <n v="0"/>
    <x v="1"/>
    <n v="1"/>
    <x v="2"/>
  </r>
  <r>
    <x v="465"/>
    <n v="101"/>
    <x v="0"/>
    <x v="0"/>
    <x v="5"/>
    <n v="1"/>
    <x v="1"/>
    <x v="0"/>
    <n v="0"/>
    <x v="0"/>
    <n v="1"/>
    <x v="1"/>
    <n v="0"/>
    <x v="2"/>
  </r>
  <r>
    <x v="466"/>
    <n v="101"/>
    <x v="0"/>
    <x v="0"/>
    <x v="1"/>
    <n v="1"/>
    <x v="3"/>
    <x v="2"/>
    <n v="1"/>
    <x v="0"/>
    <n v="0"/>
    <x v="1"/>
    <n v="2"/>
    <x v="3"/>
  </r>
  <r>
    <x v="467"/>
    <n v="101"/>
    <x v="0"/>
    <x v="0"/>
    <x v="1"/>
    <n v="1"/>
    <x v="1"/>
    <x v="1"/>
    <n v="0"/>
    <x v="0"/>
    <n v="0"/>
    <x v="0"/>
    <n v="1"/>
    <x v="3"/>
  </r>
  <r>
    <x v="468"/>
    <n v="101"/>
    <x v="0"/>
    <x v="0"/>
    <x v="0"/>
    <n v="1"/>
    <x v="0"/>
    <x v="1"/>
    <n v="0"/>
    <x v="0"/>
    <n v="0"/>
    <x v="0"/>
    <n v="2"/>
    <x v="2"/>
  </r>
  <r>
    <x v="469"/>
    <n v="101"/>
    <x v="0"/>
    <x v="0"/>
    <x v="0"/>
    <n v="1"/>
    <x v="2"/>
    <x v="0"/>
    <n v="0"/>
    <x v="0"/>
    <n v="0"/>
    <x v="1"/>
    <n v="1"/>
    <x v="2"/>
  </r>
  <r>
    <x v="470"/>
    <n v="101"/>
    <x v="1"/>
    <x v="1"/>
    <x v="5"/>
    <n v="1"/>
    <x v="1"/>
    <x v="0"/>
    <n v="0"/>
    <x v="0"/>
    <n v="0"/>
    <x v="1"/>
    <n v="0"/>
    <x v="4"/>
  </r>
  <r>
    <x v="471"/>
    <n v="101"/>
    <x v="1"/>
    <x v="1"/>
    <x v="2"/>
    <n v="1"/>
    <x v="3"/>
    <x v="1"/>
    <n v="2"/>
    <x v="0"/>
    <n v="0"/>
    <x v="1"/>
    <n v="0"/>
    <x v="0"/>
  </r>
  <r>
    <x v="472"/>
    <n v="101"/>
    <x v="1"/>
    <x v="1"/>
    <x v="5"/>
    <n v="1"/>
    <x v="1"/>
    <x v="1"/>
    <n v="1"/>
    <x v="2"/>
    <n v="0"/>
    <x v="0"/>
    <n v="2"/>
    <x v="0"/>
  </r>
  <r>
    <x v="473"/>
    <n v="101"/>
    <x v="1"/>
    <x v="1"/>
    <x v="5"/>
    <n v="1"/>
    <x v="2"/>
    <x v="1"/>
    <n v="1"/>
    <x v="2"/>
    <n v="0"/>
    <x v="1"/>
    <n v="1"/>
    <x v="2"/>
  </r>
  <r>
    <x v="474"/>
    <n v="101"/>
    <x v="1"/>
    <x v="1"/>
    <x v="5"/>
    <n v="1"/>
    <x v="0"/>
    <x v="0"/>
    <n v="2"/>
    <x v="2"/>
    <n v="1"/>
    <x v="1"/>
    <n v="0"/>
    <x v="2"/>
  </r>
  <r>
    <x v="475"/>
    <n v="101"/>
    <x v="1"/>
    <x v="1"/>
    <x v="3"/>
    <n v="1"/>
    <x v="1"/>
    <x v="2"/>
    <n v="2"/>
    <x v="2"/>
    <n v="2"/>
    <x v="0"/>
    <n v="1"/>
    <x v="1"/>
  </r>
  <r>
    <x v="476"/>
    <n v="101"/>
    <x v="1"/>
    <x v="1"/>
    <x v="1"/>
    <n v="1"/>
    <x v="1"/>
    <x v="1"/>
    <n v="0"/>
    <x v="0"/>
    <n v="0"/>
    <x v="1"/>
    <n v="0"/>
    <x v="0"/>
  </r>
  <r>
    <x v="477"/>
    <n v="101"/>
    <x v="0"/>
    <x v="0"/>
    <x v="2"/>
    <n v="1"/>
    <x v="2"/>
    <x v="1"/>
    <n v="0"/>
    <x v="0"/>
    <n v="0"/>
    <x v="1"/>
    <n v="1"/>
    <x v="2"/>
  </r>
  <r>
    <x v="478"/>
    <n v="101"/>
    <x v="0"/>
    <x v="0"/>
    <x v="0"/>
    <n v="1"/>
    <x v="2"/>
    <x v="0"/>
    <n v="0"/>
    <x v="0"/>
    <n v="0"/>
    <x v="1"/>
    <n v="0"/>
    <x v="3"/>
  </r>
  <r>
    <x v="479"/>
    <n v="101"/>
    <x v="1"/>
    <x v="1"/>
    <x v="1"/>
    <n v="1"/>
    <x v="2"/>
    <x v="1"/>
    <n v="0"/>
    <x v="2"/>
    <n v="1"/>
    <x v="1"/>
    <n v="0"/>
    <x v="0"/>
  </r>
  <r>
    <x v="480"/>
    <n v="101"/>
    <x v="0"/>
    <x v="0"/>
    <x v="2"/>
    <n v="1"/>
    <x v="2"/>
    <x v="1"/>
    <n v="0"/>
    <x v="2"/>
    <n v="2"/>
    <x v="1"/>
    <n v="0"/>
    <x v="1"/>
  </r>
  <r>
    <x v="481"/>
    <n v="101"/>
    <x v="0"/>
    <x v="0"/>
    <x v="5"/>
    <n v="1"/>
    <x v="2"/>
    <x v="2"/>
    <n v="1"/>
    <x v="0"/>
    <n v="0"/>
    <x v="1"/>
    <n v="0"/>
    <x v="1"/>
  </r>
  <r>
    <x v="482"/>
    <n v="101"/>
    <x v="1"/>
    <x v="1"/>
    <x v="3"/>
    <n v="1"/>
    <x v="2"/>
    <x v="0"/>
    <n v="2"/>
    <x v="2"/>
    <n v="1"/>
    <x v="2"/>
    <n v="0"/>
    <x v="3"/>
  </r>
  <r>
    <x v="483"/>
    <n v="101"/>
    <x v="0"/>
    <x v="0"/>
    <x v="0"/>
    <n v="1"/>
    <x v="1"/>
    <x v="1"/>
    <n v="2"/>
    <x v="0"/>
    <n v="1"/>
    <x v="1"/>
    <n v="2"/>
    <x v="1"/>
  </r>
  <r>
    <x v="484"/>
    <n v="101"/>
    <x v="1"/>
    <x v="1"/>
    <x v="3"/>
    <n v="1"/>
    <x v="2"/>
    <x v="2"/>
    <n v="2"/>
    <x v="2"/>
    <n v="2"/>
    <x v="2"/>
    <n v="2"/>
    <x v="2"/>
  </r>
  <r>
    <x v="485"/>
    <n v="101"/>
    <x v="0"/>
    <x v="0"/>
    <x v="1"/>
    <n v="1"/>
    <x v="1"/>
    <x v="1"/>
    <n v="0"/>
    <x v="0"/>
    <n v="0"/>
    <x v="3"/>
    <n v="2"/>
    <x v="0"/>
  </r>
  <r>
    <x v="486"/>
    <n v="101"/>
    <x v="1"/>
    <x v="1"/>
    <x v="0"/>
    <n v="1"/>
    <x v="1"/>
    <x v="0"/>
    <n v="1"/>
    <x v="0"/>
    <n v="0"/>
    <x v="1"/>
    <n v="0"/>
    <x v="0"/>
  </r>
  <r>
    <x v="487"/>
    <n v="101"/>
    <x v="1"/>
    <x v="1"/>
    <x v="2"/>
    <n v="1"/>
    <x v="1"/>
    <x v="0"/>
    <n v="0"/>
    <x v="0"/>
    <n v="0"/>
    <x v="1"/>
    <n v="0"/>
    <x v="3"/>
  </r>
  <r>
    <x v="488"/>
    <n v="101"/>
    <x v="1"/>
    <x v="1"/>
    <x v="5"/>
    <n v="1"/>
    <x v="2"/>
    <x v="2"/>
    <n v="2"/>
    <x v="2"/>
    <n v="1"/>
    <x v="1"/>
    <n v="1"/>
    <x v="1"/>
  </r>
  <r>
    <x v="489"/>
    <n v="101"/>
    <x v="1"/>
    <x v="1"/>
    <x v="0"/>
    <n v="1"/>
    <x v="1"/>
    <x v="1"/>
    <n v="0"/>
    <x v="0"/>
    <n v="0"/>
    <x v="1"/>
    <n v="0"/>
    <x v="2"/>
  </r>
  <r>
    <x v="490"/>
    <n v="101"/>
    <x v="1"/>
    <x v="1"/>
    <x v="5"/>
    <n v="1"/>
    <x v="3"/>
    <x v="0"/>
    <n v="0"/>
    <x v="0"/>
    <n v="0"/>
    <x v="1"/>
    <n v="0"/>
    <x v="1"/>
  </r>
  <r>
    <x v="491"/>
    <n v="101"/>
    <x v="0"/>
    <x v="0"/>
    <x v="5"/>
    <n v="1"/>
    <x v="2"/>
    <x v="0"/>
    <n v="0"/>
    <x v="3"/>
    <n v="0"/>
    <x v="1"/>
    <n v="0"/>
    <x v="1"/>
  </r>
  <r>
    <x v="492"/>
    <n v="101"/>
    <x v="0"/>
    <x v="0"/>
    <x v="0"/>
    <n v="1"/>
    <x v="2"/>
    <x v="1"/>
    <n v="0"/>
    <x v="0"/>
    <n v="0"/>
    <x v="1"/>
    <n v="0"/>
    <x v="3"/>
  </r>
  <r>
    <x v="493"/>
    <n v="101"/>
    <x v="0"/>
    <x v="0"/>
    <x v="0"/>
    <n v="1"/>
    <x v="1"/>
    <x v="0"/>
    <n v="0"/>
    <x v="0"/>
    <n v="0"/>
    <x v="1"/>
    <n v="0"/>
    <x v="2"/>
  </r>
  <r>
    <x v="494"/>
    <n v="101"/>
    <x v="1"/>
    <x v="1"/>
    <x v="5"/>
    <n v="1"/>
    <x v="3"/>
    <x v="0"/>
    <n v="0"/>
    <x v="0"/>
    <n v="0"/>
    <x v="1"/>
    <n v="0"/>
    <x v="2"/>
  </r>
  <r>
    <x v="495"/>
    <n v="101"/>
    <x v="0"/>
    <x v="0"/>
    <x v="1"/>
    <n v="1"/>
    <x v="1"/>
    <x v="0"/>
    <n v="0"/>
    <x v="0"/>
    <n v="0"/>
    <x v="1"/>
    <n v="0"/>
    <x v="2"/>
  </r>
  <r>
    <x v="496"/>
    <n v="101"/>
    <x v="0"/>
    <x v="0"/>
    <x v="5"/>
    <n v="1"/>
    <x v="3"/>
    <x v="1"/>
    <n v="0"/>
    <x v="0"/>
    <n v="0"/>
    <x v="1"/>
    <n v="0"/>
    <x v="2"/>
  </r>
  <r>
    <x v="497"/>
    <n v="101"/>
    <x v="1"/>
    <x v="1"/>
    <x v="3"/>
    <n v="1"/>
    <x v="2"/>
    <x v="0"/>
    <n v="0"/>
    <x v="0"/>
    <n v="0"/>
    <x v="0"/>
    <n v="0"/>
    <x v="1"/>
  </r>
  <r>
    <x v="498"/>
    <n v="101"/>
    <x v="1"/>
    <x v="1"/>
    <x v="0"/>
    <n v="1"/>
    <x v="2"/>
    <x v="1"/>
    <n v="1"/>
    <x v="0"/>
    <n v="0"/>
    <x v="2"/>
    <n v="2"/>
    <x v="2"/>
  </r>
  <r>
    <x v="499"/>
    <n v="101"/>
    <x v="1"/>
    <x v="1"/>
    <x v="7"/>
    <n v="1"/>
    <x v="1"/>
    <x v="0"/>
    <n v="0"/>
    <x v="0"/>
    <n v="0"/>
    <x v="1"/>
    <n v="0"/>
    <x v="0"/>
  </r>
  <r>
    <x v="500"/>
    <n v="101"/>
    <x v="1"/>
    <x v="1"/>
    <x v="1"/>
    <n v="1"/>
    <x v="3"/>
    <x v="1"/>
    <n v="1"/>
    <x v="2"/>
    <n v="1"/>
    <x v="0"/>
    <n v="1"/>
    <x v="2"/>
  </r>
  <r>
    <x v="501"/>
    <n v="101"/>
    <x v="1"/>
    <x v="1"/>
    <x v="0"/>
    <n v="1"/>
    <x v="1"/>
    <x v="0"/>
    <n v="0"/>
    <x v="0"/>
    <n v="0"/>
    <x v="1"/>
    <n v="0"/>
    <x v="2"/>
  </r>
  <r>
    <x v="502"/>
    <n v="101"/>
    <x v="1"/>
    <x v="1"/>
    <x v="5"/>
    <n v="1"/>
    <x v="2"/>
    <x v="1"/>
    <n v="99"/>
    <x v="2"/>
    <n v="2"/>
    <x v="2"/>
    <n v="1"/>
    <x v="0"/>
  </r>
  <r>
    <x v="503"/>
    <n v="101"/>
    <x v="0"/>
    <x v="0"/>
    <x v="1"/>
    <n v="1"/>
    <x v="3"/>
    <x v="0"/>
    <n v="0"/>
    <x v="0"/>
    <n v="0"/>
    <x v="1"/>
    <n v="1"/>
    <x v="0"/>
  </r>
  <r>
    <x v="504"/>
    <n v="101"/>
    <x v="1"/>
    <x v="1"/>
    <x v="5"/>
    <n v="1"/>
    <x v="3"/>
    <x v="0"/>
    <n v="0"/>
    <x v="0"/>
    <n v="0"/>
    <x v="1"/>
    <n v="0"/>
    <x v="1"/>
  </r>
  <r>
    <x v="505"/>
    <n v="101"/>
    <x v="1"/>
    <x v="1"/>
    <x v="5"/>
    <n v="1"/>
    <x v="3"/>
    <x v="1"/>
    <n v="0"/>
    <x v="0"/>
    <n v="0"/>
    <x v="1"/>
    <n v="0"/>
    <x v="3"/>
  </r>
  <r>
    <x v="506"/>
    <n v="101"/>
    <x v="1"/>
    <x v="1"/>
    <x v="5"/>
    <n v="1"/>
    <x v="3"/>
    <x v="0"/>
    <n v="0"/>
    <x v="0"/>
    <n v="0"/>
    <x v="1"/>
    <n v="0"/>
    <x v="2"/>
  </r>
  <r>
    <x v="507"/>
    <n v="101"/>
    <x v="1"/>
    <x v="1"/>
    <x v="2"/>
    <n v="1"/>
    <x v="3"/>
    <x v="0"/>
    <n v="1"/>
    <x v="0"/>
    <n v="0"/>
    <x v="1"/>
    <n v="0"/>
    <x v="2"/>
  </r>
  <r>
    <x v="508"/>
    <n v="101"/>
    <x v="1"/>
    <x v="1"/>
    <x v="1"/>
    <n v="1"/>
    <x v="1"/>
    <x v="1"/>
    <n v="0"/>
    <x v="0"/>
    <n v="0"/>
    <x v="2"/>
    <n v="2"/>
    <x v="0"/>
  </r>
  <r>
    <x v="509"/>
    <n v="101"/>
    <x v="1"/>
    <x v="1"/>
    <x v="2"/>
    <n v="1"/>
    <x v="3"/>
    <x v="2"/>
    <n v="1"/>
    <x v="0"/>
    <n v="1"/>
    <x v="1"/>
    <n v="0"/>
    <x v="0"/>
  </r>
  <r>
    <x v="510"/>
    <n v="101"/>
    <x v="1"/>
    <x v="1"/>
    <x v="0"/>
    <n v="1"/>
    <x v="1"/>
    <x v="1"/>
    <n v="1"/>
    <x v="2"/>
    <n v="1"/>
    <x v="0"/>
    <n v="0"/>
    <x v="5"/>
  </r>
  <r>
    <x v="511"/>
    <n v="101"/>
    <x v="1"/>
    <x v="1"/>
    <x v="1"/>
    <n v="1"/>
    <x v="3"/>
    <x v="1"/>
    <n v="1"/>
    <x v="0"/>
    <n v="1"/>
    <x v="0"/>
    <n v="1"/>
    <x v="1"/>
  </r>
  <r>
    <x v="512"/>
    <n v="101"/>
    <x v="0"/>
    <x v="0"/>
    <x v="0"/>
    <n v="1"/>
    <x v="0"/>
    <x v="1"/>
    <n v="2"/>
    <x v="0"/>
    <n v="0"/>
    <x v="0"/>
    <n v="2"/>
    <x v="1"/>
  </r>
  <r>
    <x v="513"/>
    <n v="101"/>
    <x v="0"/>
    <x v="0"/>
    <x v="0"/>
    <n v="1"/>
    <x v="3"/>
    <x v="0"/>
    <n v="0"/>
    <x v="3"/>
    <n v="0"/>
    <x v="1"/>
    <n v="1"/>
    <x v="1"/>
  </r>
  <r>
    <x v="514"/>
    <n v="101"/>
    <x v="1"/>
    <x v="1"/>
    <x v="0"/>
    <n v="1"/>
    <x v="1"/>
    <x v="2"/>
    <n v="0"/>
    <x v="0"/>
    <n v="0"/>
    <x v="0"/>
    <n v="1"/>
    <x v="0"/>
  </r>
  <r>
    <x v="515"/>
    <n v="101"/>
    <x v="1"/>
    <x v="1"/>
    <x v="0"/>
    <n v="1"/>
    <x v="3"/>
    <x v="1"/>
    <n v="1"/>
    <x v="0"/>
    <n v="0"/>
    <x v="1"/>
    <n v="0"/>
    <x v="0"/>
  </r>
  <r>
    <x v="516"/>
    <n v="101"/>
    <x v="1"/>
    <x v="1"/>
    <x v="0"/>
    <n v="1"/>
    <x v="1"/>
    <x v="0"/>
    <n v="0"/>
    <x v="0"/>
    <n v="0"/>
    <x v="1"/>
    <n v="0"/>
    <x v="1"/>
  </r>
  <r>
    <x v="517"/>
    <n v="101"/>
    <x v="0"/>
    <x v="0"/>
    <x v="1"/>
    <n v="1"/>
    <x v="2"/>
    <x v="2"/>
    <n v="1"/>
    <x v="0"/>
    <n v="0"/>
    <x v="1"/>
    <n v="1"/>
    <x v="0"/>
  </r>
  <r>
    <x v="518"/>
    <n v="101"/>
    <x v="1"/>
    <x v="1"/>
    <x v="5"/>
    <n v="1"/>
    <x v="2"/>
    <x v="2"/>
    <n v="1"/>
    <x v="1"/>
    <n v="2"/>
    <x v="0"/>
    <n v="0"/>
    <x v="2"/>
  </r>
  <r>
    <x v="519"/>
    <n v="101"/>
    <x v="1"/>
    <x v="1"/>
    <x v="5"/>
    <n v="1"/>
    <x v="2"/>
    <x v="0"/>
    <n v="1"/>
    <x v="0"/>
    <n v="0"/>
    <x v="0"/>
    <n v="0"/>
    <x v="0"/>
  </r>
  <r>
    <x v="520"/>
    <n v="101"/>
    <x v="1"/>
    <x v="1"/>
    <x v="2"/>
    <n v="1"/>
    <x v="2"/>
    <x v="1"/>
    <n v="0"/>
    <x v="2"/>
    <n v="0"/>
    <x v="1"/>
    <n v="0"/>
    <x v="2"/>
  </r>
  <r>
    <x v="521"/>
    <n v="101"/>
    <x v="1"/>
    <x v="1"/>
    <x v="1"/>
    <n v="1"/>
    <x v="2"/>
    <x v="2"/>
    <n v="1"/>
    <x v="2"/>
    <n v="1"/>
    <x v="1"/>
    <n v="0"/>
    <x v="0"/>
  </r>
  <r>
    <x v="522"/>
    <n v="101"/>
    <x v="1"/>
    <x v="1"/>
    <x v="5"/>
    <n v="1"/>
    <x v="2"/>
    <x v="0"/>
    <n v="0"/>
    <x v="0"/>
    <n v="0"/>
    <x v="0"/>
    <n v="1"/>
    <x v="2"/>
  </r>
  <r>
    <x v="523"/>
    <n v="101"/>
    <x v="0"/>
    <x v="0"/>
    <x v="3"/>
    <n v="1"/>
    <x v="1"/>
    <x v="1"/>
    <n v="0"/>
    <x v="0"/>
    <n v="0"/>
    <x v="1"/>
    <n v="0"/>
    <x v="1"/>
  </r>
  <r>
    <x v="524"/>
    <n v="101"/>
    <x v="0"/>
    <x v="0"/>
    <x v="2"/>
    <n v="1"/>
    <x v="0"/>
    <x v="0"/>
    <n v="0"/>
    <x v="0"/>
    <n v="0"/>
    <x v="0"/>
    <n v="1"/>
    <x v="1"/>
  </r>
  <r>
    <x v="525"/>
    <n v="101"/>
    <x v="1"/>
    <x v="1"/>
    <x v="3"/>
    <n v="1"/>
    <x v="0"/>
    <x v="2"/>
    <n v="2"/>
    <x v="1"/>
    <n v="1"/>
    <x v="0"/>
    <n v="1"/>
    <x v="0"/>
  </r>
  <r>
    <x v="526"/>
    <n v="101"/>
    <x v="1"/>
    <x v="1"/>
    <x v="5"/>
    <n v="1"/>
    <x v="0"/>
    <x v="0"/>
    <n v="0"/>
    <x v="0"/>
    <n v="0"/>
    <x v="1"/>
    <n v="1"/>
    <x v="0"/>
  </r>
  <r>
    <x v="527"/>
    <n v="101"/>
    <x v="0"/>
    <x v="0"/>
    <x v="4"/>
    <n v="0"/>
    <x v="2"/>
    <x v="0"/>
    <n v="0"/>
    <x v="0"/>
    <n v="0"/>
    <x v="1"/>
    <n v="0"/>
    <x v="3"/>
  </r>
  <r>
    <x v="528"/>
    <n v="101"/>
    <x v="1"/>
    <x v="1"/>
    <x v="7"/>
    <n v="1"/>
    <x v="3"/>
    <x v="2"/>
    <n v="0"/>
    <x v="1"/>
    <n v="0"/>
    <x v="0"/>
    <n v="0"/>
    <x v="1"/>
  </r>
  <r>
    <x v="529"/>
    <n v="101"/>
    <x v="0"/>
    <x v="0"/>
    <x v="2"/>
    <n v="1"/>
    <x v="2"/>
    <x v="1"/>
    <n v="0"/>
    <x v="2"/>
    <n v="1"/>
    <x v="1"/>
    <n v="0"/>
    <x v="1"/>
  </r>
  <r>
    <x v="530"/>
    <n v="101"/>
    <x v="0"/>
    <x v="0"/>
    <x v="5"/>
    <n v="1"/>
    <x v="1"/>
    <x v="2"/>
    <n v="1"/>
    <x v="2"/>
    <n v="0"/>
    <x v="1"/>
    <n v="0"/>
    <x v="1"/>
  </r>
  <r>
    <x v="531"/>
    <n v="101"/>
    <x v="0"/>
    <x v="0"/>
    <x v="0"/>
    <n v="1"/>
    <x v="1"/>
    <x v="2"/>
    <n v="0"/>
    <x v="0"/>
    <n v="0"/>
    <x v="1"/>
    <n v="1"/>
    <x v="3"/>
  </r>
  <r>
    <x v="532"/>
    <n v="101"/>
    <x v="1"/>
    <x v="1"/>
    <x v="6"/>
    <n v="0"/>
    <x v="1"/>
    <x v="2"/>
    <n v="2"/>
    <x v="1"/>
    <n v="0"/>
    <x v="0"/>
    <n v="0"/>
    <x v="3"/>
  </r>
  <r>
    <x v="533"/>
    <n v="101"/>
    <x v="0"/>
    <x v="0"/>
    <x v="5"/>
    <n v="1"/>
    <x v="1"/>
    <x v="1"/>
    <n v="0"/>
    <x v="0"/>
    <n v="0"/>
    <x v="1"/>
    <n v="0"/>
    <x v="0"/>
  </r>
  <r>
    <x v="534"/>
    <n v="101"/>
    <x v="1"/>
    <x v="1"/>
    <x v="0"/>
    <n v="1"/>
    <x v="3"/>
    <x v="2"/>
    <n v="0"/>
    <x v="1"/>
    <n v="0"/>
    <x v="1"/>
    <n v="0"/>
    <x v="1"/>
  </r>
  <r>
    <x v="535"/>
    <n v="101"/>
    <x v="0"/>
    <x v="0"/>
    <x v="1"/>
    <n v="1"/>
    <x v="2"/>
    <x v="0"/>
    <n v="0"/>
    <x v="0"/>
    <n v="0"/>
    <x v="1"/>
    <n v="0"/>
    <x v="2"/>
  </r>
  <r>
    <x v="536"/>
    <n v="101"/>
    <x v="1"/>
    <x v="1"/>
    <x v="0"/>
    <n v="1"/>
    <x v="2"/>
    <x v="0"/>
    <n v="0"/>
    <x v="0"/>
    <n v="0"/>
    <x v="1"/>
    <n v="0"/>
    <x v="1"/>
  </r>
  <r>
    <x v="537"/>
    <n v="101"/>
    <x v="1"/>
    <x v="1"/>
    <x v="5"/>
    <n v="1"/>
    <x v="2"/>
    <x v="1"/>
    <n v="1"/>
    <x v="2"/>
    <n v="1"/>
    <x v="1"/>
    <n v="0"/>
    <x v="0"/>
  </r>
  <r>
    <x v="538"/>
    <n v="101"/>
    <x v="1"/>
    <x v="1"/>
    <x v="0"/>
    <n v="1"/>
    <x v="2"/>
    <x v="0"/>
    <n v="0"/>
    <x v="0"/>
    <n v="0"/>
    <x v="1"/>
    <n v="1"/>
    <x v="2"/>
  </r>
  <r>
    <x v="539"/>
    <n v="101"/>
    <x v="1"/>
    <x v="1"/>
    <x v="0"/>
    <n v="1"/>
    <x v="1"/>
    <x v="1"/>
    <n v="1"/>
    <x v="0"/>
    <n v="1"/>
    <x v="0"/>
    <n v="1"/>
    <x v="2"/>
  </r>
  <r>
    <x v="540"/>
    <n v="101"/>
    <x v="1"/>
    <x v="1"/>
    <x v="5"/>
    <n v="1"/>
    <x v="3"/>
    <x v="2"/>
    <n v="0"/>
    <x v="0"/>
    <n v="0"/>
    <x v="1"/>
    <n v="0"/>
    <x v="1"/>
  </r>
  <r>
    <x v="541"/>
    <n v="101"/>
    <x v="1"/>
    <x v="1"/>
    <x v="5"/>
    <n v="1"/>
    <x v="0"/>
    <x v="2"/>
    <n v="1"/>
    <x v="2"/>
    <n v="0"/>
    <x v="1"/>
    <n v="0"/>
    <x v="1"/>
  </r>
  <r>
    <x v="542"/>
    <n v="101"/>
    <x v="1"/>
    <x v="1"/>
    <x v="2"/>
    <n v="1"/>
    <x v="3"/>
    <x v="1"/>
    <n v="1"/>
    <x v="1"/>
    <n v="0"/>
    <x v="1"/>
    <n v="2"/>
    <x v="2"/>
  </r>
  <r>
    <x v="543"/>
    <n v="101"/>
    <x v="1"/>
    <x v="1"/>
    <x v="2"/>
    <n v="1"/>
    <x v="0"/>
    <x v="0"/>
    <n v="0"/>
    <x v="0"/>
    <n v="0"/>
    <x v="1"/>
    <n v="0"/>
    <x v="2"/>
  </r>
  <r>
    <x v="544"/>
    <n v="101"/>
    <x v="1"/>
    <x v="1"/>
    <x v="3"/>
    <n v="1"/>
    <x v="0"/>
    <x v="0"/>
    <n v="0"/>
    <x v="0"/>
    <n v="0"/>
    <x v="1"/>
    <n v="0"/>
    <x v="1"/>
  </r>
  <r>
    <x v="545"/>
    <n v="101"/>
    <x v="1"/>
    <x v="1"/>
    <x v="1"/>
    <n v="1"/>
    <x v="1"/>
    <x v="2"/>
    <n v="1"/>
    <x v="2"/>
    <n v="2"/>
    <x v="1"/>
    <n v="0"/>
    <x v="1"/>
  </r>
  <r>
    <x v="546"/>
    <n v="101"/>
    <x v="0"/>
    <x v="0"/>
    <x v="1"/>
    <n v="1"/>
    <x v="3"/>
    <x v="0"/>
    <n v="1"/>
    <x v="2"/>
    <n v="0"/>
    <x v="2"/>
    <n v="99"/>
    <x v="2"/>
  </r>
  <r>
    <x v="547"/>
    <n v="101"/>
    <x v="1"/>
    <x v="1"/>
    <x v="5"/>
    <n v="1"/>
    <x v="2"/>
    <x v="1"/>
    <n v="0"/>
    <x v="2"/>
    <n v="1"/>
    <x v="1"/>
    <n v="0"/>
    <x v="2"/>
  </r>
  <r>
    <x v="548"/>
    <n v="101"/>
    <x v="0"/>
    <x v="0"/>
    <x v="0"/>
    <n v="1"/>
    <x v="2"/>
    <x v="1"/>
    <n v="1"/>
    <x v="2"/>
    <n v="1"/>
    <x v="1"/>
    <n v="0"/>
    <x v="2"/>
  </r>
  <r>
    <x v="549"/>
    <n v="101"/>
    <x v="1"/>
    <x v="1"/>
    <x v="7"/>
    <n v="0"/>
    <x v="1"/>
    <x v="1"/>
    <n v="0"/>
    <x v="2"/>
    <n v="1"/>
    <x v="1"/>
    <n v="0"/>
    <x v="0"/>
  </r>
  <r>
    <x v="550"/>
    <n v="101"/>
    <x v="1"/>
    <x v="1"/>
    <x v="2"/>
    <n v="1"/>
    <x v="2"/>
    <x v="0"/>
    <n v="0"/>
    <x v="0"/>
    <n v="0"/>
    <x v="1"/>
    <n v="0"/>
    <x v="2"/>
  </r>
  <r>
    <x v="551"/>
    <n v="101"/>
    <x v="0"/>
    <x v="0"/>
    <x v="0"/>
    <n v="1"/>
    <x v="2"/>
    <x v="1"/>
    <n v="1"/>
    <x v="0"/>
    <n v="1"/>
    <x v="1"/>
    <n v="0"/>
    <x v="3"/>
  </r>
  <r>
    <x v="552"/>
    <n v="101"/>
    <x v="0"/>
    <x v="0"/>
    <x v="1"/>
    <n v="1"/>
    <x v="2"/>
    <x v="0"/>
    <n v="0"/>
    <x v="2"/>
    <n v="0"/>
    <x v="1"/>
    <n v="0"/>
    <x v="3"/>
  </r>
  <r>
    <x v="553"/>
    <n v="101"/>
    <x v="0"/>
    <x v="0"/>
    <x v="1"/>
    <n v="1"/>
    <x v="1"/>
    <x v="0"/>
    <n v="0"/>
    <x v="0"/>
    <n v="0"/>
    <x v="1"/>
    <n v="1"/>
    <x v="3"/>
  </r>
  <r>
    <x v="554"/>
    <n v="101"/>
    <x v="1"/>
    <x v="1"/>
    <x v="5"/>
    <n v="1"/>
    <x v="1"/>
    <x v="2"/>
    <n v="2"/>
    <x v="2"/>
    <n v="1"/>
    <x v="1"/>
    <n v="0"/>
    <x v="1"/>
  </r>
  <r>
    <x v="555"/>
    <n v="101"/>
    <x v="1"/>
    <x v="1"/>
    <x v="1"/>
    <n v="1"/>
    <x v="1"/>
    <x v="0"/>
    <n v="0"/>
    <x v="0"/>
    <n v="0"/>
    <x v="2"/>
    <n v="2"/>
    <x v="0"/>
  </r>
  <r>
    <x v="556"/>
    <n v="101"/>
    <x v="1"/>
    <x v="1"/>
    <x v="1"/>
    <n v="1"/>
    <x v="3"/>
    <x v="0"/>
    <n v="0"/>
    <x v="0"/>
    <n v="0"/>
    <x v="0"/>
    <n v="1"/>
    <x v="1"/>
  </r>
  <r>
    <x v="557"/>
    <n v="101"/>
    <x v="1"/>
    <x v="1"/>
    <x v="0"/>
    <n v="1"/>
    <x v="2"/>
    <x v="2"/>
    <n v="2"/>
    <x v="1"/>
    <n v="2"/>
    <x v="2"/>
    <n v="0"/>
    <x v="0"/>
  </r>
  <r>
    <x v="558"/>
    <n v="101"/>
    <x v="0"/>
    <x v="0"/>
    <x v="2"/>
    <n v="1"/>
    <x v="1"/>
    <x v="0"/>
    <n v="0"/>
    <x v="0"/>
    <n v="0"/>
    <x v="0"/>
    <n v="0"/>
    <x v="0"/>
  </r>
  <r>
    <x v="559"/>
    <n v="101"/>
    <x v="0"/>
    <x v="0"/>
    <x v="3"/>
    <n v="1"/>
    <x v="2"/>
    <x v="2"/>
    <n v="2"/>
    <x v="0"/>
    <n v="0"/>
    <x v="0"/>
    <n v="1"/>
    <x v="2"/>
  </r>
  <r>
    <x v="560"/>
    <n v="101"/>
    <x v="0"/>
    <x v="0"/>
    <x v="2"/>
    <n v="1"/>
    <x v="1"/>
    <x v="0"/>
    <n v="0"/>
    <x v="0"/>
    <n v="0"/>
    <x v="1"/>
    <n v="0"/>
    <x v="2"/>
  </r>
  <r>
    <x v="561"/>
    <n v="101"/>
    <x v="0"/>
    <x v="0"/>
    <x v="2"/>
    <n v="1"/>
    <x v="1"/>
    <x v="0"/>
    <n v="2"/>
    <x v="0"/>
    <n v="0"/>
    <x v="0"/>
    <n v="2"/>
    <x v="3"/>
  </r>
  <r>
    <x v="562"/>
    <n v="101"/>
    <x v="0"/>
    <x v="0"/>
    <x v="2"/>
    <n v="1"/>
    <x v="2"/>
    <x v="0"/>
    <n v="0"/>
    <x v="0"/>
    <n v="0"/>
    <x v="1"/>
    <n v="1"/>
    <x v="2"/>
  </r>
  <r>
    <x v="563"/>
    <n v="101"/>
    <x v="1"/>
    <x v="1"/>
    <x v="2"/>
    <n v="1"/>
    <x v="1"/>
    <x v="2"/>
    <n v="2"/>
    <x v="0"/>
    <n v="0"/>
    <x v="2"/>
    <n v="2"/>
    <x v="2"/>
  </r>
  <r>
    <x v="564"/>
    <n v="101"/>
    <x v="0"/>
    <x v="0"/>
    <x v="2"/>
    <n v="1"/>
    <x v="1"/>
    <x v="0"/>
    <n v="0"/>
    <x v="0"/>
    <n v="0"/>
    <x v="1"/>
    <n v="1"/>
    <x v="2"/>
  </r>
  <r>
    <x v="565"/>
    <n v="101"/>
    <x v="0"/>
    <x v="0"/>
    <x v="2"/>
    <n v="1"/>
    <x v="1"/>
    <x v="1"/>
    <n v="1"/>
    <x v="0"/>
    <n v="0"/>
    <x v="1"/>
    <n v="0"/>
    <x v="3"/>
  </r>
  <r>
    <x v="566"/>
    <n v="101"/>
    <x v="0"/>
    <x v="0"/>
    <x v="2"/>
    <n v="1"/>
    <x v="3"/>
    <x v="0"/>
    <n v="0"/>
    <x v="0"/>
    <n v="0"/>
    <x v="0"/>
    <n v="0"/>
    <x v="1"/>
  </r>
  <r>
    <x v="567"/>
    <n v="101"/>
    <x v="1"/>
    <x v="1"/>
    <x v="1"/>
    <n v="1"/>
    <x v="1"/>
    <x v="0"/>
    <n v="0"/>
    <x v="0"/>
    <n v="0"/>
    <x v="1"/>
    <n v="1"/>
    <x v="2"/>
  </r>
  <r>
    <x v="568"/>
    <n v="101"/>
    <x v="0"/>
    <x v="0"/>
    <x v="2"/>
    <n v="1"/>
    <x v="2"/>
    <x v="1"/>
    <n v="1"/>
    <x v="0"/>
    <n v="0"/>
    <x v="1"/>
    <n v="0"/>
    <x v="3"/>
  </r>
  <r>
    <x v="569"/>
    <n v="101"/>
    <x v="1"/>
    <x v="1"/>
    <x v="5"/>
    <n v="1"/>
    <x v="1"/>
    <x v="0"/>
    <n v="0"/>
    <x v="0"/>
    <n v="0"/>
    <x v="0"/>
    <n v="0"/>
    <x v="2"/>
  </r>
  <r>
    <x v="570"/>
    <n v="101"/>
    <x v="0"/>
    <x v="0"/>
    <x v="5"/>
    <n v="1"/>
    <x v="3"/>
    <x v="0"/>
    <n v="1"/>
    <x v="0"/>
    <n v="1"/>
    <x v="1"/>
    <n v="0"/>
    <x v="1"/>
  </r>
  <r>
    <x v="571"/>
    <n v="101"/>
    <x v="1"/>
    <x v="1"/>
    <x v="0"/>
    <n v="1"/>
    <x v="1"/>
    <x v="1"/>
    <n v="0"/>
    <x v="0"/>
    <n v="0"/>
    <x v="1"/>
    <n v="0"/>
    <x v="2"/>
  </r>
  <r>
    <x v="572"/>
    <n v="101"/>
    <x v="0"/>
    <x v="0"/>
    <x v="2"/>
    <n v="1"/>
    <x v="2"/>
    <x v="1"/>
    <n v="1"/>
    <x v="2"/>
    <n v="0"/>
    <x v="1"/>
    <n v="0"/>
    <x v="0"/>
  </r>
  <r>
    <x v="573"/>
    <n v="101"/>
    <x v="1"/>
    <x v="1"/>
    <x v="2"/>
    <n v="1"/>
    <x v="1"/>
    <x v="0"/>
    <n v="0"/>
    <x v="0"/>
    <n v="0"/>
    <x v="1"/>
    <n v="0"/>
    <x v="1"/>
  </r>
  <r>
    <x v="574"/>
    <n v="101"/>
    <x v="1"/>
    <x v="1"/>
    <x v="5"/>
    <n v="1"/>
    <x v="0"/>
    <x v="0"/>
    <n v="2"/>
    <x v="2"/>
    <n v="1"/>
    <x v="0"/>
    <n v="1"/>
    <x v="0"/>
  </r>
  <r>
    <x v="575"/>
    <n v="101"/>
    <x v="1"/>
    <x v="1"/>
    <x v="0"/>
    <n v="1"/>
    <x v="3"/>
    <x v="0"/>
    <n v="0"/>
    <x v="0"/>
    <n v="0"/>
    <x v="1"/>
    <n v="0"/>
    <x v="2"/>
  </r>
  <r>
    <x v="576"/>
    <n v="101"/>
    <x v="1"/>
    <x v="1"/>
    <x v="0"/>
    <n v="1"/>
    <x v="1"/>
    <x v="1"/>
    <n v="0"/>
    <x v="0"/>
    <n v="1"/>
    <x v="1"/>
    <n v="0"/>
    <x v="2"/>
  </r>
  <r>
    <x v="577"/>
    <n v="101"/>
    <x v="1"/>
    <x v="1"/>
    <x v="5"/>
    <n v="1"/>
    <x v="0"/>
    <x v="2"/>
    <n v="2"/>
    <x v="1"/>
    <n v="2"/>
    <x v="2"/>
    <n v="1"/>
    <x v="2"/>
  </r>
  <r>
    <x v="578"/>
    <n v="101"/>
    <x v="0"/>
    <x v="0"/>
    <x v="5"/>
    <n v="1"/>
    <x v="1"/>
    <x v="0"/>
    <n v="0"/>
    <x v="0"/>
    <n v="0"/>
    <x v="2"/>
    <n v="1"/>
    <x v="1"/>
  </r>
  <r>
    <x v="579"/>
    <n v="101"/>
    <x v="0"/>
    <x v="0"/>
    <x v="5"/>
    <n v="1"/>
    <x v="2"/>
    <x v="0"/>
    <n v="0"/>
    <x v="0"/>
    <n v="0"/>
    <x v="0"/>
    <n v="1"/>
    <x v="1"/>
  </r>
  <r>
    <x v="580"/>
    <n v="101"/>
    <x v="0"/>
    <x v="0"/>
    <x v="3"/>
    <n v="1"/>
    <x v="2"/>
    <x v="2"/>
    <n v="1"/>
    <x v="0"/>
    <n v="1"/>
    <x v="2"/>
    <n v="2"/>
    <x v="1"/>
  </r>
  <r>
    <x v="581"/>
    <n v="101"/>
    <x v="0"/>
    <x v="0"/>
    <x v="0"/>
    <n v="1"/>
    <x v="1"/>
    <x v="0"/>
    <n v="0"/>
    <x v="0"/>
    <n v="0"/>
    <x v="2"/>
    <n v="1"/>
    <x v="0"/>
  </r>
  <r>
    <x v="582"/>
    <n v="101"/>
    <x v="0"/>
    <x v="0"/>
    <x v="1"/>
    <n v="1"/>
    <x v="1"/>
    <x v="0"/>
    <n v="0"/>
    <x v="0"/>
    <n v="0"/>
    <x v="1"/>
    <n v="0"/>
    <x v="3"/>
  </r>
  <r>
    <x v="583"/>
    <n v="101"/>
    <x v="0"/>
    <x v="0"/>
    <x v="4"/>
    <n v="0"/>
    <x v="3"/>
    <x v="1"/>
    <n v="0"/>
    <x v="0"/>
    <n v="0"/>
    <x v="0"/>
    <n v="1"/>
    <x v="0"/>
  </r>
  <r>
    <x v="584"/>
    <n v="101"/>
    <x v="1"/>
    <x v="1"/>
    <x v="0"/>
    <n v="1"/>
    <x v="1"/>
    <x v="0"/>
    <n v="0"/>
    <x v="2"/>
    <n v="0"/>
    <x v="1"/>
    <n v="0"/>
    <x v="2"/>
  </r>
  <r>
    <x v="585"/>
    <n v="101"/>
    <x v="1"/>
    <x v="1"/>
    <x v="2"/>
    <n v="1"/>
    <x v="1"/>
    <x v="1"/>
    <n v="0"/>
    <x v="0"/>
    <n v="1"/>
    <x v="1"/>
    <n v="0"/>
    <x v="1"/>
  </r>
  <r>
    <x v="586"/>
    <n v="101"/>
    <x v="0"/>
    <x v="0"/>
    <x v="2"/>
    <n v="1"/>
    <x v="1"/>
    <x v="0"/>
    <n v="0"/>
    <x v="0"/>
    <n v="0"/>
    <x v="1"/>
    <n v="0"/>
    <x v="2"/>
  </r>
  <r>
    <x v="587"/>
    <n v="101"/>
    <x v="1"/>
    <x v="1"/>
    <x v="3"/>
    <n v="1"/>
    <x v="0"/>
    <x v="0"/>
    <n v="0"/>
    <x v="0"/>
    <n v="0"/>
    <x v="1"/>
    <n v="0"/>
    <x v="2"/>
  </r>
  <r>
    <x v="588"/>
    <n v="101"/>
    <x v="1"/>
    <x v="1"/>
    <x v="5"/>
    <n v="1"/>
    <x v="3"/>
    <x v="1"/>
    <n v="0"/>
    <x v="0"/>
    <n v="0"/>
    <x v="1"/>
    <n v="0"/>
    <x v="3"/>
  </r>
  <r>
    <x v="589"/>
    <n v="101"/>
    <x v="0"/>
    <x v="0"/>
    <x v="7"/>
    <n v="1"/>
    <x v="3"/>
    <x v="1"/>
    <n v="0"/>
    <x v="0"/>
    <n v="0"/>
    <x v="1"/>
    <n v="0"/>
    <x v="0"/>
  </r>
  <r>
    <x v="590"/>
    <n v="101"/>
    <x v="0"/>
    <x v="0"/>
    <x v="1"/>
    <n v="1"/>
    <x v="1"/>
    <x v="0"/>
    <n v="0"/>
    <x v="0"/>
    <n v="0"/>
    <x v="1"/>
    <n v="0"/>
    <x v="2"/>
  </r>
  <r>
    <x v="591"/>
    <n v="101"/>
    <x v="1"/>
    <x v="1"/>
    <x v="2"/>
    <n v="1"/>
    <x v="1"/>
    <x v="1"/>
    <n v="0"/>
    <x v="0"/>
    <n v="0"/>
    <x v="0"/>
    <n v="1"/>
    <x v="2"/>
  </r>
  <r>
    <x v="592"/>
    <n v="101"/>
    <x v="0"/>
    <x v="0"/>
    <x v="0"/>
    <n v="1"/>
    <x v="3"/>
    <x v="1"/>
    <n v="1"/>
    <x v="0"/>
    <n v="0"/>
    <x v="1"/>
    <n v="0"/>
    <x v="1"/>
  </r>
  <r>
    <x v="593"/>
    <n v="101"/>
    <x v="0"/>
    <x v="0"/>
    <x v="2"/>
    <n v="1"/>
    <x v="1"/>
    <x v="0"/>
    <n v="2"/>
    <x v="0"/>
    <n v="0"/>
    <x v="2"/>
    <n v="2"/>
    <x v="1"/>
  </r>
  <r>
    <x v="594"/>
    <n v="101"/>
    <x v="1"/>
    <x v="1"/>
    <x v="0"/>
    <n v="1"/>
    <x v="1"/>
    <x v="1"/>
    <n v="0"/>
    <x v="0"/>
    <n v="0"/>
    <x v="1"/>
    <n v="0"/>
    <x v="2"/>
  </r>
  <r>
    <x v="595"/>
    <n v="101"/>
    <x v="0"/>
    <x v="0"/>
    <x v="5"/>
    <n v="1"/>
    <x v="1"/>
    <x v="0"/>
    <n v="0"/>
    <x v="0"/>
    <n v="0"/>
    <x v="1"/>
    <n v="0"/>
    <x v="0"/>
  </r>
  <r>
    <x v="596"/>
    <n v="101"/>
    <x v="0"/>
    <x v="0"/>
    <x v="0"/>
    <n v="1"/>
    <x v="1"/>
    <x v="0"/>
    <n v="0"/>
    <x v="0"/>
    <n v="0"/>
    <x v="1"/>
    <n v="0"/>
    <x v="2"/>
  </r>
  <r>
    <x v="597"/>
    <n v="101"/>
    <x v="1"/>
    <x v="1"/>
    <x v="0"/>
    <n v="1"/>
    <x v="1"/>
    <x v="2"/>
    <n v="2"/>
    <x v="0"/>
    <n v="2"/>
    <x v="2"/>
    <n v="0"/>
    <x v="0"/>
  </r>
  <r>
    <x v="598"/>
    <n v="101"/>
    <x v="1"/>
    <x v="1"/>
    <x v="2"/>
    <n v="1"/>
    <x v="0"/>
    <x v="0"/>
    <n v="0"/>
    <x v="0"/>
    <n v="0"/>
    <x v="1"/>
    <n v="0"/>
    <x v="2"/>
  </r>
  <r>
    <x v="599"/>
    <n v="101"/>
    <x v="1"/>
    <x v="1"/>
    <x v="2"/>
    <n v="1"/>
    <x v="1"/>
    <x v="1"/>
    <n v="2"/>
    <x v="2"/>
    <n v="0"/>
    <x v="1"/>
    <n v="0"/>
    <x v="1"/>
  </r>
  <r>
    <x v="600"/>
    <n v="101"/>
    <x v="1"/>
    <x v="1"/>
    <x v="1"/>
    <n v="1"/>
    <x v="1"/>
    <x v="1"/>
    <n v="0"/>
    <x v="0"/>
    <n v="1"/>
    <x v="1"/>
    <n v="0"/>
    <x v="2"/>
  </r>
  <r>
    <x v="601"/>
    <n v="101"/>
    <x v="1"/>
    <x v="1"/>
    <x v="0"/>
    <n v="1"/>
    <x v="1"/>
    <x v="0"/>
    <n v="0"/>
    <x v="2"/>
    <n v="2"/>
    <x v="1"/>
    <n v="1"/>
    <x v="2"/>
  </r>
  <r>
    <x v="602"/>
    <n v="101"/>
    <x v="0"/>
    <x v="0"/>
    <x v="2"/>
    <n v="1"/>
    <x v="3"/>
    <x v="2"/>
    <n v="0"/>
    <x v="0"/>
    <n v="0"/>
    <x v="1"/>
    <n v="0"/>
    <x v="2"/>
  </r>
  <r>
    <x v="603"/>
    <n v="101"/>
    <x v="0"/>
    <x v="0"/>
    <x v="5"/>
    <n v="1"/>
    <x v="1"/>
    <x v="0"/>
    <n v="0"/>
    <x v="0"/>
    <n v="0"/>
    <x v="1"/>
    <n v="2"/>
    <x v="1"/>
  </r>
  <r>
    <x v="604"/>
    <n v="101"/>
    <x v="0"/>
    <x v="0"/>
    <x v="2"/>
    <n v="1"/>
    <x v="2"/>
    <x v="0"/>
    <n v="0"/>
    <x v="0"/>
    <n v="0"/>
    <x v="0"/>
    <n v="1"/>
    <x v="3"/>
  </r>
  <r>
    <x v="605"/>
    <n v="101"/>
    <x v="0"/>
    <x v="0"/>
    <x v="7"/>
    <n v="0"/>
    <x v="0"/>
    <x v="0"/>
    <n v="0"/>
    <x v="2"/>
    <n v="0"/>
    <x v="1"/>
    <n v="0"/>
    <x v="1"/>
  </r>
  <r>
    <x v="606"/>
    <n v="101"/>
    <x v="0"/>
    <x v="0"/>
    <x v="5"/>
    <n v="1"/>
    <x v="3"/>
    <x v="0"/>
    <n v="0"/>
    <x v="2"/>
    <n v="0"/>
    <x v="1"/>
    <n v="0"/>
    <x v="1"/>
  </r>
  <r>
    <x v="607"/>
    <n v="101"/>
    <x v="0"/>
    <x v="0"/>
    <x v="5"/>
    <n v="1"/>
    <x v="1"/>
    <x v="2"/>
    <n v="0"/>
    <x v="0"/>
    <n v="0"/>
    <x v="1"/>
    <n v="0"/>
    <x v="2"/>
  </r>
  <r>
    <x v="608"/>
    <n v="101"/>
    <x v="0"/>
    <x v="0"/>
    <x v="2"/>
    <n v="1"/>
    <x v="1"/>
    <x v="0"/>
    <n v="0"/>
    <x v="0"/>
    <n v="0"/>
    <x v="1"/>
    <n v="0"/>
    <x v="2"/>
  </r>
  <r>
    <x v="609"/>
    <n v="101"/>
    <x v="1"/>
    <x v="1"/>
    <x v="5"/>
    <n v="1"/>
    <x v="1"/>
    <x v="2"/>
    <n v="2"/>
    <x v="2"/>
    <n v="1"/>
    <x v="2"/>
    <n v="2"/>
    <x v="1"/>
  </r>
  <r>
    <x v="610"/>
    <n v="101"/>
    <x v="0"/>
    <x v="0"/>
    <x v="1"/>
    <n v="1"/>
    <x v="2"/>
    <x v="0"/>
    <n v="0"/>
    <x v="0"/>
    <n v="0"/>
    <x v="1"/>
    <n v="1"/>
    <x v="2"/>
  </r>
  <r>
    <x v="611"/>
    <n v="101"/>
    <x v="0"/>
    <x v="0"/>
    <x v="0"/>
    <n v="1"/>
    <x v="2"/>
    <x v="1"/>
    <n v="0"/>
    <x v="1"/>
    <n v="0"/>
    <x v="1"/>
    <n v="1"/>
    <x v="3"/>
  </r>
  <r>
    <x v="612"/>
    <n v="101"/>
    <x v="0"/>
    <x v="0"/>
    <x v="5"/>
    <n v="1"/>
    <x v="2"/>
    <x v="0"/>
    <n v="0"/>
    <x v="0"/>
    <n v="0"/>
    <x v="0"/>
    <n v="0"/>
    <x v="4"/>
  </r>
  <r>
    <x v="613"/>
    <n v="101"/>
    <x v="1"/>
    <x v="1"/>
    <x v="3"/>
    <n v="1"/>
    <x v="2"/>
    <x v="1"/>
    <n v="0"/>
    <x v="0"/>
    <n v="0"/>
    <x v="1"/>
    <n v="1"/>
    <x v="3"/>
  </r>
  <r>
    <x v="614"/>
    <n v="101"/>
    <x v="1"/>
    <x v="1"/>
    <x v="5"/>
    <n v="1"/>
    <x v="1"/>
    <x v="1"/>
    <n v="0"/>
    <x v="2"/>
    <n v="0"/>
    <x v="1"/>
    <n v="0"/>
    <x v="1"/>
  </r>
  <r>
    <x v="615"/>
    <n v="101"/>
    <x v="0"/>
    <x v="0"/>
    <x v="0"/>
    <n v="1"/>
    <x v="1"/>
    <x v="1"/>
    <n v="0"/>
    <x v="0"/>
    <n v="0"/>
    <x v="1"/>
    <n v="0"/>
    <x v="0"/>
  </r>
  <r>
    <x v="616"/>
    <n v="101"/>
    <x v="1"/>
    <x v="1"/>
    <x v="5"/>
    <n v="1"/>
    <x v="2"/>
    <x v="1"/>
    <n v="1"/>
    <x v="2"/>
    <n v="2"/>
    <x v="0"/>
    <n v="0"/>
    <x v="2"/>
  </r>
  <r>
    <x v="617"/>
    <n v="101"/>
    <x v="1"/>
    <x v="1"/>
    <x v="7"/>
    <n v="1"/>
    <x v="1"/>
    <x v="2"/>
    <n v="0"/>
    <x v="0"/>
    <n v="0"/>
    <x v="1"/>
    <n v="1"/>
    <x v="1"/>
  </r>
  <r>
    <x v="618"/>
    <n v="101"/>
    <x v="1"/>
    <x v="1"/>
    <x v="1"/>
    <n v="1"/>
    <x v="0"/>
    <x v="2"/>
    <n v="2"/>
    <x v="1"/>
    <n v="2"/>
    <x v="1"/>
    <n v="0"/>
    <x v="1"/>
  </r>
  <r>
    <x v="619"/>
    <n v="101"/>
    <x v="1"/>
    <x v="1"/>
    <x v="7"/>
    <n v="1"/>
    <x v="1"/>
    <x v="2"/>
    <n v="2"/>
    <x v="2"/>
    <n v="1"/>
    <x v="1"/>
    <n v="0"/>
    <x v="0"/>
  </r>
  <r>
    <x v="620"/>
    <n v="101"/>
    <x v="1"/>
    <x v="1"/>
    <x v="1"/>
    <n v="1"/>
    <x v="2"/>
    <x v="2"/>
    <n v="2"/>
    <x v="2"/>
    <n v="2"/>
    <x v="0"/>
    <n v="99"/>
    <x v="2"/>
  </r>
  <r>
    <x v="621"/>
    <n v="101"/>
    <x v="0"/>
    <x v="0"/>
    <x v="1"/>
    <n v="1"/>
    <x v="3"/>
    <x v="1"/>
    <n v="1"/>
    <x v="0"/>
    <n v="0"/>
    <x v="0"/>
    <n v="1"/>
    <x v="1"/>
  </r>
  <r>
    <x v="622"/>
    <n v="101"/>
    <x v="0"/>
    <x v="0"/>
    <x v="2"/>
    <n v="1"/>
    <x v="3"/>
    <x v="0"/>
    <n v="0"/>
    <x v="0"/>
    <n v="0"/>
    <x v="1"/>
    <n v="0"/>
    <x v="0"/>
  </r>
  <r>
    <x v="623"/>
    <n v="101"/>
    <x v="1"/>
    <x v="1"/>
    <x v="0"/>
    <n v="1"/>
    <x v="1"/>
    <x v="2"/>
    <n v="0"/>
    <x v="0"/>
    <n v="0"/>
    <x v="1"/>
    <n v="1"/>
    <x v="5"/>
  </r>
  <r>
    <x v="624"/>
    <n v="101"/>
    <x v="1"/>
    <x v="1"/>
    <x v="5"/>
    <n v="1"/>
    <x v="1"/>
    <x v="0"/>
    <n v="0"/>
    <x v="0"/>
    <n v="0"/>
    <x v="1"/>
    <n v="0"/>
    <x v="0"/>
  </r>
  <r>
    <x v="625"/>
    <n v="101"/>
    <x v="1"/>
    <x v="1"/>
    <x v="0"/>
    <n v="1"/>
    <x v="1"/>
    <x v="2"/>
    <n v="0"/>
    <x v="0"/>
    <n v="0"/>
    <x v="1"/>
    <n v="0"/>
    <x v="2"/>
  </r>
  <r>
    <x v="626"/>
    <n v="101"/>
    <x v="1"/>
    <x v="1"/>
    <x v="1"/>
    <n v="1"/>
    <x v="2"/>
    <x v="1"/>
    <n v="1"/>
    <x v="0"/>
    <n v="1"/>
    <x v="1"/>
    <n v="0"/>
    <x v="2"/>
  </r>
  <r>
    <x v="627"/>
    <n v="101"/>
    <x v="1"/>
    <x v="1"/>
    <x v="5"/>
    <n v="1"/>
    <x v="1"/>
    <x v="0"/>
    <n v="0"/>
    <x v="0"/>
    <n v="0"/>
    <x v="1"/>
    <n v="0"/>
    <x v="1"/>
  </r>
  <r>
    <x v="628"/>
    <n v="101"/>
    <x v="1"/>
    <x v="1"/>
    <x v="5"/>
    <n v="1"/>
    <x v="3"/>
    <x v="1"/>
    <n v="0"/>
    <x v="0"/>
    <n v="0"/>
    <x v="0"/>
    <n v="1"/>
    <x v="1"/>
  </r>
  <r>
    <x v="629"/>
    <n v="101"/>
    <x v="1"/>
    <x v="1"/>
    <x v="5"/>
    <n v="1"/>
    <x v="0"/>
    <x v="1"/>
    <n v="2"/>
    <x v="2"/>
    <n v="1"/>
    <x v="0"/>
    <n v="2"/>
    <x v="2"/>
  </r>
  <r>
    <x v="630"/>
    <n v="101"/>
    <x v="0"/>
    <x v="0"/>
    <x v="2"/>
    <n v="1"/>
    <x v="3"/>
    <x v="0"/>
    <n v="0"/>
    <x v="2"/>
    <n v="1"/>
    <x v="1"/>
    <n v="1"/>
    <x v="2"/>
  </r>
  <r>
    <x v="631"/>
    <n v="101"/>
    <x v="1"/>
    <x v="1"/>
    <x v="0"/>
    <n v="1"/>
    <x v="1"/>
    <x v="0"/>
    <n v="0"/>
    <x v="0"/>
    <n v="0"/>
    <x v="0"/>
    <n v="0"/>
    <x v="2"/>
  </r>
  <r>
    <x v="632"/>
    <n v="101"/>
    <x v="0"/>
    <x v="0"/>
    <x v="2"/>
    <n v="1"/>
    <x v="1"/>
    <x v="0"/>
    <n v="0"/>
    <x v="0"/>
    <n v="0"/>
    <x v="1"/>
    <n v="0"/>
    <x v="2"/>
  </r>
  <r>
    <x v="633"/>
    <n v="101"/>
    <x v="0"/>
    <x v="0"/>
    <x v="2"/>
    <n v="1"/>
    <x v="0"/>
    <x v="0"/>
    <n v="1"/>
    <x v="0"/>
    <n v="0"/>
    <x v="0"/>
    <n v="1"/>
    <x v="2"/>
  </r>
  <r>
    <x v="634"/>
    <n v="101"/>
    <x v="1"/>
    <x v="1"/>
    <x v="5"/>
    <n v="1"/>
    <x v="3"/>
    <x v="0"/>
    <n v="0"/>
    <x v="0"/>
    <n v="0"/>
    <x v="1"/>
    <n v="0"/>
    <x v="2"/>
  </r>
  <r>
    <x v="635"/>
    <n v="101"/>
    <x v="0"/>
    <x v="0"/>
    <x v="0"/>
    <n v="1"/>
    <x v="1"/>
    <x v="0"/>
    <n v="0"/>
    <x v="0"/>
    <n v="0"/>
    <x v="0"/>
    <n v="2"/>
    <x v="1"/>
  </r>
  <r>
    <x v="636"/>
    <n v="101"/>
    <x v="0"/>
    <x v="0"/>
    <x v="2"/>
    <n v="1"/>
    <x v="3"/>
    <x v="0"/>
    <n v="0"/>
    <x v="0"/>
    <n v="0"/>
    <x v="1"/>
    <n v="0"/>
    <x v="1"/>
  </r>
  <r>
    <x v="637"/>
    <n v="101"/>
    <x v="0"/>
    <x v="0"/>
    <x v="5"/>
    <n v="1"/>
    <x v="2"/>
    <x v="0"/>
    <n v="0"/>
    <x v="0"/>
    <n v="0"/>
    <x v="1"/>
    <n v="0"/>
    <x v="2"/>
  </r>
  <r>
    <x v="638"/>
    <n v="101"/>
    <x v="0"/>
    <x v="0"/>
    <x v="5"/>
    <n v="1"/>
    <x v="1"/>
    <x v="0"/>
    <n v="0"/>
    <x v="0"/>
    <n v="0"/>
    <x v="1"/>
    <n v="0"/>
    <x v="2"/>
  </r>
  <r>
    <x v="639"/>
    <n v="101"/>
    <x v="0"/>
    <x v="0"/>
    <x v="2"/>
    <n v="1"/>
    <x v="1"/>
    <x v="0"/>
    <n v="1"/>
    <x v="1"/>
    <n v="0"/>
    <x v="1"/>
    <n v="1"/>
    <x v="2"/>
  </r>
  <r>
    <x v="640"/>
    <n v="101"/>
    <x v="0"/>
    <x v="0"/>
    <x v="5"/>
    <n v="1"/>
    <x v="1"/>
    <x v="0"/>
    <n v="0"/>
    <x v="0"/>
    <n v="0"/>
    <x v="1"/>
    <n v="0"/>
    <x v="2"/>
  </r>
  <r>
    <x v="641"/>
    <n v="101"/>
    <x v="1"/>
    <x v="1"/>
    <x v="1"/>
    <n v="1"/>
    <x v="2"/>
    <x v="0"/>
    <n v="0"/>
    <x v="0"/>
    <n v="0"/>
    <x v="1"/>
    <n v="0"/>
    <x v="0"/>
  </r>
  <r>
    <x v="642"/>
    <n v="101"/>
    <x v="0"/>
    <x v="0"/>
    <x v="2"/>
    <n v="1"/>
    <x v="2"/>
    <x v="0"/>
    <n v="0"/>
    <x v="0"/>
    <n v="0"/>
    <x v="1"/>
    <n v="0"/>
    <x v="1"/>
  </r>
  <r>
    <x v="643"/>
    <n v="101"/>
    <x v="0"/>
    <x v="0"/>
    <x v="2"/>
    <n v="1"/>
    <x v="2"/>
    <x v="0"/>
    <n v="0"/>
    <x v="0"/>
    <n v="0"/>
    <x v="1"/>
    <n v="0"/>
    <x v="0"/>
  </r>
  <r>
    <x v="644"/>
    <n v="101"/>
    <x v="0"/>
    <x v="0"/>
    <x v="5"/>
    <n v="1"/>
    <x v="2"/>
    <x v="0"/>
    <n v="0"/>
    <x v="0"/>
    <n v="0"/>
    <x v="1"/>
    <n v="0"/>
    <x v="0"/>
  </r>
  <r>
    <x v="645"/>
    <n v="101"/>
    <x v="1"/>
    <x v="1"/>
    <x v="1"/>
    <n v="1"/>
    <x v="1"/>
    <x v="0"/>
    <n v="0"/>
    <x v="0"/>
    <n v="0"/>
    <x v="1"/>
    <n v="0"/>
    <x v="0"/>
  </r>
  <r>
    <x v="646"/>
    <n v="101"/>
    <x v="0"/>
    <x v="0"/>
    <x v="1"/>
    <n v="1"/>
    <x v="1"/>
    <x v="1"/>
    <n v="0"/>
    <x v="0"/>
    <n v="0"/>
    <x v="1"/>
    <n v="1"/>
    <x v="1"/>
  </r>
  <r>
    <x v="647"/>
    <n v="101"/>
    <x v="1"/>
    <x v="1"/>
    <x v="0"/>
    <n v="1"/>
    <x v="1"/>
    <x v="1"/>
    <n v="1"/>
    <x v="2"/>
    <n v="0"/>
    <x v="1"/>
    <n v="0"/>
    <x v="1"/>
  </r>
  <r>
    <x v="648"/>
    <n v="101"/>
    <x v="1"/>
    <x v="1"/>
    <x v="1"/>
    <n v="1"/>
    <x v="3"/>
    <x v="2"/>
    <n v="0"/>
    <x v="2"/>
    <n v="1"/>
    <x v="1"/>
    <n v="1"/>
    <x v="0"/>
  </r>
  <r>
    <x v="649"/>
    <n v="101"/>
    <x v="1"/>
    <x v="1"/>
    <x v="2"/>
    <n v="1"/>
    <x v="2"/>
    <x v="0"/>
    <n v="0"/>
    <x v="2"/>
    <n v="1"/>
    <x v="1"/>
    <n v="2"/>
    <x v="1"/>
  </r>
  <r>
    <x v="650"/>
    <n v="101"/>
    <x v="0"/>
    <x v="0"/>
    <x v="1"/>
    <n v="1"/>
    <x v="1"/>
    <x v="1"/>
    <n v="0"/>
    <x v="0"/>
    <n v="1"/>
    <x v="1"/>
    <n v="1"/>
    <x v="1"/>
  </r>
  <r>
    <x v="651"/>
    <n v="101"/>
    <x v="1"/>
    <x v="1"/>
    <x v="0"/>
    <n v="1"/>
    <x v="2"/>
    <x v="1"/>
    <n v="1"/>
    <x v="2"/>
    <n v="1"/>
    <x v="1"/>
    <n v="1"/>
    <x v="2"/>
  </r>
  <r>
    <x v="652"/>
    <n v="101"/>
    <x v="1"/>
    <x v="1"/>
    <x v="1"/>
    <n v="1"/>
    <x v="2"/>
    <x v="1"/>
    <n v="1"/>
    <x v="0"/>
    <n v="1"/>
    <x v="1"/>
    <n v="0"/>
    <x v="1"/>
  </r>
  <r>
    <x v="653"/>
    <n v="101"/>
    <x v="1"/>
    <x v="1"/>
    <x v="0"/>
    <n v="1"/>
    <x v="3"/>
    <x v="1"/>
    <n v="0"/>
    <x v="0"/>
    <n v="0"/>
    <x v="1"/>
    <n v="0"/>
    <x v="2"/>
  </r>
  <r>
    <x v="654"/>
    <n v="101"/>
    <x v="1"/>
    <x v="1"/>
    <x v="1"/>
    <n v="1"/>
    <x v="3"/>
    <x v="2"/>
    <n v="0"/>
    <x v="0"/>
    <n v="1"/>
    <x v="0"/>
    <n v="0"/>
    <x v="1"/>
  </r>
  <r>
    <x v="655"/>
    <n v="101"/>
    <x v="0"/>
    <x v="0"/>
    <x v="2"/>
    <n v="1"/>
    <x v="3"/>
    <x v="2"/>
    <n v="0"/>
    <x v="0"/>
    <n v="0"/>
    <x v="1"/>
    <n v="1"/>
    <x v="3"/>
  </r>
  <r>
    <x v="656"/>
    <n v="101"/>
    <x v="0"/>
    <x v="0"/>
    <x v="1"/>
    <n v="1"/>
    <x v="2"/>
    <x v="0"/>
    <n v="0"/>
    <x v="0"/>
    <n v="0"/>
    <x v="1"/>
    <n v="1"/>
    <x v="2"/>
  </r>
  <r>
    <x v="657"/>
    <n v="101"/>
    <x v="1"/>
    <x v="1"/>
    <x v="1"/>
    <n v="1"/>
    <x v="3"/>
    <x v="2"/>
    <n v="2"/>
    <x v="0"/>
    <n v="1"/>
    <x v="0"/>
    <n v="1"/>
    <x v="1"/>
  </r>
  <r>
    <x v="658"/>
    <n v="101"/>
    <x v="1"/>
    <x v="1"/>
    <x v="1"/>
    <n v="1"/>
    <x v="0"/>
    <x v="2"/>
    <n v="2"/>
    <x v="2"/>
    <n v="0"/>
    <x v="0"/>
    <n v="0"/>
    <x v="2"/>
  </r>
  <r>
    <x v="659"/>
    <n v="101"/>
    <x v="1"/>
    <x v="1"/>
    <x v="2"/>
    <n v="1"/>
    <x v="3"/>
    <x v="0"/>
    <n v="0"/>
    <x v="0"/>
    <n v="0"/>
    <x v="1"/>
    <n v="0"/>
    <x v="3"/>
  </r>
  <r>
    <x v="660"/>
    <n v="101"/>
    <x v="1"/>
    <x v="1"/>
    <x v="5"/>
    <n v="1"/>
    <x v="2"/>
    <x v="2"/>
    <n v="0"/>
    <x v="2"/>
    <n v="0"/>
    <x v="1"/>
    <n v="0"/>
    <x v="2"/>
  </r>
  <r>
    <x v="661"/>
    <n v="101"/>
    <x v="1"/>
    <x v="1"/>
    <x v="5"/>
    <n v="1"/>
    <x v="3"/>
    <x v="0"/>
    <n v="0"/>
    <x v="0"/>
    <n v="0"/>
    <x v="1"/>
    <n v="0"/>
    <x v="2"/>
  </r>
  <r>
    <x v="662"/>
    <n v="101"/>
    <x v="0"/>
    <x v="0"/>
    <x v="5"/>
    <n v="1"/>
    <x v="0"/>
    <x v="1"/>
    <n v="1"/>
    <x v="0"/>
    <n v="0"/>
    <x v="1"/>
    <n v="0"/>
    <x v="0"/>
  </r>
  <r>
    <x v="663"/>
    <n v="101"/>
    <x v="1"/>
    <x v="1"/>
    <x v="0"/>
    <n v="1"/>
    <x v="2"/>
    <x v="0"/>
    <n v="0"/>
    <x v="0"/>
    <n v="0"/>
    <x v="1"/>
    <n v="0"/>
    <x v="2"/>
  </r>
  <r>
    <x v="664"/>
    <n v="101"/>
    <x v="0"/>
    <x v="0"/>
    <x v="0"/>
    <n v="1"/>
    <x v="1"/>
    <x v="1"/>
    <n v="0"/>
    <x v="0"/>
    <n v="0"/>
    <x v="0"/>
    <n v="1"/>
    <x v="2"/>
  </r>
  <r>
    <x v="665"/>
    <n v="101"/>
    <x v="1"/>
    <x v="1"/>
    <x v="0"/>
    <n v="1"/>
    <x v="3"/>
    <x v="0"/>
    <n v="0"/>
    <x v="0"/>
    <n v="0"/>
    <x v="0"/>
    <n v="0"/>
    <x v="0"/>
  </r>
  <r>
    <x v="666"/>
    <n v="101"/>
    <x v="0"/>
    <x v="0"/>
    <x v="1"/>
    <n v="1"/>
    <x v="1"/>
    <x v="0"/>
    <n v="0"/>
    <x v="0"/>
    <n v="0"/>
    <x v="1"/>
    <n v="0"/>
    <x v="3"/>
  </r>
  <r>
    <x v="667"/>
    <n v="101"/>
    <x v="0"/>
    <x v="0"/>
    <x v="5"/>
    <n v="1"/>
    <x v="2"/>
    <x v="0"/>
    <n v="0"/>
    <x v="0"/>
    <n v="0"/>
    <x v="0"/>
    <n v="1"/>
    <x v="1"/>
  </r>
  <r>
    <x v="668"/>
    <n v="101"/>
    <x v="1"/>
    <x v="1"/>
    <x v="7"/>
    <n v="1"/>
    <x v="2"/>
    <x v="2"/>
    <n v="1"/>
    <x v="2"/>
    <n v="0"/>
    <x v="1"/>
    <n v="0"/>
    <x v="1"/>
  </r>
  <r>
    <x v="669"/>
    <n v="101"/>
    <x v="1"/>
    <x v="1"/>
    <x v="1"/>
    <n v="1"/>
    <x v="3"/>
    <x v="0"/>
    <n v="0"/>
    <x v="0"/>
    <n v="0"/>
    <x v="1"/>
    <n v="0"/>
    <x v="0"/>
  </r>
  <r>
    <x v="670"/>
    <n v="101"/>
    <x v="0"/>
    <x v="0"/>
    <x v="2"/>
    <n v="1"/>
    <x v="1"/>
    <x v="0"/>
    <n v="0"/>
    <x v="0"/>
    <n v="0"/>
    <x v="1"/>
    <n v="0"/>
    <x v="1"/>
  </r>
  <r>
    <x v="671"/>
    <n v="101"/>
    <x v="0"/>
    <x v="0"/>
    <x v="5"/>
    <n v="1"/>
    <x v="2"/>
    <x v="2"/>
    <n v="1"/>
    <x v="0"/>
    <n v="0"/>
    <x v="1"/>
    <n v="0"/>
    <x v="2"/>
  </r>
  <r>
    <x v="672"/>
    <n v="101"/>
    <x v="1"/>
    <x v="1"/>
    <x v="3"/>
    <n v="1"/>
    <x v="1"/>
    <x v="2"/>
    <n v="1"/>
    <x v="2"/>
    <n v="0"/>
    <x v="1"/>
    <n v="1"/>
    <x v="1"/>
  </r>
  <r>
    <x v="673"/>
    <n v="101"/>
    <x v="1"/>
    <x v="1"/>
    <x v="1"/>
    <n v="1"/>
    <x v="0"/>
    <x v="1"/>
    <n v="1"/>
    <x v="0"/>
    <n v="0"/>
    <x v="1"/>
    <n v="1"/>
    <x v="0"/>
  </r>
  <r>
    <x v="674"/>
    <n v="101"/>
    <x v="0"/>
    <x v="0"/>
    <x v="5"/>
    <n v="1"/>
    <x v="3"/>
    <x v="0"/>
    <n v="0"/>
    <x v="0"/>
    <n v="0"/>
    <x v="1"/>
    <n v="0"/>
    <x v="2"/>
  </r>
  <r>
    <x v="675"/>
    <n v="101"/>
    <x v="0"/>
    <x v="0"/>
    <x v="0"/>
    <n v="1"/>
    <x v="2"/>
    <x v="1"/>
    <n v="0"/>
    <x v="0"/>
    <n v="0"/>
    <x v="1"/>
    <n v="2"/>
    <x v="1"/>
  </r>
  <r>
    <x v="676"/>
    <n v="101"/>
    <x v="1"/>
    <x v="1"/>
    <x v="0"/>
    <n v="1"/>
    <x v="1"/>
    <x v="1"/>
    <n v="0"/>
    <x v="0"/>
    <n v="0"/>
    <x v="1"/>
    <n v="99"/>
    <x v="2"/>
  </r>
  <r>
    <x v="677"/>
    <n v="101"/>
    <x v="0"/>
    <x v="0"/>
    <x v="5"/>
    <n v="1"/>
    <x v="3"/>
    <x v="0"/>
    <n v="0"/>
    <x v="0"/>
    <n v="0"/>
    <x v="1"/>
    <n v="1"/>
    <x v="2"/>
  </r>
  <r>
    <x v="678"/>
    <n v="101"/>
    <x v="1"/>
    <x v="1"/>
    <x v="3"/>
    <n v="1"/>
    <x v="2"/>
    <x v="1"/>
    <n v="0"/>
    <x v="0"/>
    <n v="0"/>
    <x v="1"/>
    <n v="1"/>
    <x v="1"/>
  </r>
  <r>
    <x v="679"/>
    <n v="101"/>
    <x v="0"/>
    <x v="0"/>
    <x v="2"/>
    <n v="1"/>
    <x v="3"/>
    <x v="0"/>
    <n v="0"/>
    <x v="0"/>
    <n v="0"/>
    <x v="2"/>
    <n v="2"/>
    <x v="0"/>
  </r>
  <r>
    <x v="680"/>
    <n v="101"/>
    <x v="0"/>
    <x v="0"/>
    <x v="1"/>
    <n v="1"/>
    <x v="3"/>
    <x v="0"/>
    <n v="0"/>
    <x v="0"/>
    <n v="0"/>
    <x v="1"/>
    <n v="0"/>
    <x v="1"/>
  </r>
  <r>
    <x v="681"/>
    <n v="101"/>
    <x v="0"/>
    <x v="0"/>
    <x v="1"/>
    <n v="1"/>
    <x v="0"/>
    <x v="2"/>
    <n v="1"/>
    <x v="0"/>
    <n v="1"/>
    <x v="1"/>
    <n v="1"/>
    <x v="2"/>
  </r>
  <r>
    <x v="682"/>
    <n v="101"/>
    <x v="1"/>
    <x v="1"/>
    <x v="0"/>
    <n v="1"/>
    <x v="1"/>
    <x v="0"/>
    <n v="0"/>
    <x v="0"/>
    <n v="0"/>
    <x v="1"/>
    <n v="0"/>
    <x v="2"/>
  </r>
  <r>
    <x v="683"/>
    <n v="101"/>
    <x v="1"/>
    <x v="1"/>
    <x v="5"/>
    <n v="1"/>
    <x v="1"/>
    <x v="0"/>
    <n v="0"/>
    <x v="0"/>
    <n v="0"/>
    <x v="1"/>
    <n v="0"/>
    <x v="1"/>
  </r>
  <r>
    <x v="684"/>
    <n v="101"/>
    <x v="0"/>
    <x v="0"/>
    <x v="5"/>
    <n v="1"/>
    <x v="2"/>
    <x v="0"/>
    <n v="0"/>
    <x v="0"/>
    <n v="0"/>
    <x v="1"/>
    <n v="2"/>
    <x v="1"/>
  </r>
  <r>
    <x v="685"/>
    <n v="101"/>
    <x v="0"/>
    <x v="0"/>
    <x v="0"/>
    <n v="1"/>
    <x v="1"/>
    <x v="1"/>
    <n v="0"/>
    <x v="0"/>
    <n v="0"/>
    <x v="1"/>
    <n v="0"/>
    <x v="0"/>
  </r>
  <r>
    <x v="686"/>
    <n v="101"/>
    <x v="0"/>
    <x v="0"/>
    <x v="6"/>
    <n v="0"/>
    <x v="1"/>
    <x v="2"/>
    <n v="0"/>
    <x v="0"/>
    <n v="0"/>
    <x v="1"/>
    <n v="0"/>
    <x v="3"/>
  </r>
  <r>
    <x v="687"/>
    <n v="101"/>
    <x v="1"/>
    <x v="1"/>
    <x v="7"/>
    <n v="0"/>
    <x v="1"/>
    <x v="1"/>
    <n v="0"/>
    <x v="0"/>
    <n v="0"/>
    <x v="1"/>
    <n v="0"/>
    <x v="2"/>
  </r>
  <r>
    <x v="688"/>
    <n v="101"/>
    <x v="1"/>
    <x v="1"/>
    <x v="0"/>
    <n v="1"/>
    <x v="1"/>
    <x v="2"/>
    <n v="1"/>
    <x v="0"/>
    <n v="1"/>
    <x v="1"/>
    <n v="0"/>
    <x v="2"/>
  </r>
  <r>
    <x v="689"/>
    <n v="101"/>
    <x v="1"/>
    <x v="1"/>
    <x v="2"/>
    <n v="1"/>
    <x v="2"/>
    <x v="1"/>
    <n v="1"/>
    <x v="2"/>
    <n v="1"/>
    <x v="0"/>
    <n v="1"/>
    <x v="2"/>
  </r>
  <r>
    <x v="690"/>
    <n v="101"/>
    <x v="0"/>
    <x v="0"/>
    <x v="2"/>
    <n v="1"/>
    <x v="3"/>
    <x v="0"/>
    <n v="0"/>
    <x v="0"/>
    <n v="0"/>
    <x v="1"/>
    <n v="0"/>
    <x v="1"/>
  </r>
  <r>
    <x v="691"/>
    <n v="101"/>
    <x v="0"/>
    <x v="0"/>
    <x v="2"/>
    <n v="1"/>
    <x v="3"/>
    <x v="1"/>
    <n v="1"/>
    <x v="0"/>
    <n v="0"/>
    <x v="1"/>
    <n v="1"/>
    <x v="0"/>
  </r>
  <r>
    <x v="692"/>
    <n v="101"/>
    <x v="1"/>
    <x v="1"/>
    <x v="7"/>
    <n v="0"/>
    <x v="2"/>
    <x v="1"/>
    <n v="1"/>
    <x v="0"/>
    <n v="0"/>
    <x v="1"/>
    <n v="0"/>
    <x v="2"/>
  </r>
  <r>
    <x v="693"/>
    <n v="101"/>
    <x v="1"/>
    <x v="1"/>
    <x v="0"/>
    <n v="1"/>
    <x v="1"/>
    <x v="1"/>
    <n v="0"/>
    <x v="2"/>
    <n v="0"/>
    <x v="0"/>
    <n v="0"/>
    <x v="1"/>
  </r>
  <r>
    <x v="694"/>
    <n v="101"/>
    <x v="1"/>
    <x v="1"/>
    <x v="3"/>
    <n v="1"/>
    <x v="2"/>
    <x v="2"/>
    <n v="2"/>
    <x v="0"/>
    <n v="1"/>
    <x v="2"/>
    <n v="2"/>
    <x v="2"/>
  </r>
  <r>
    <x v="695"/>
    <n v="101"/>
    <x v="1"/>
    <x v="1"/>
    <x v="1"/>
    <n v="1"/>
    <x v="1"/>
    <x v="2"/>
    <n v="1"/>
    <x v="0"/>
    <n v="1"/>
    <x v="0"/>
    <n v="1"/>
    <x v="0"/>
  </r>
  <r>
    <x v="696"/>
    <n v="101"/>
    <x v="1"/>
    <x v="1"/>
    <x v="1"/>
    <n v="1"/>
    <x v="1"/>
    <x v="2"/>
    <n v="2"/>
    <x v="2"/>
    <n v="1"/>
    <x v="1"/>
    <n v="0"/>
    <x v="2"/>
  </r>
  <r>
    <x v="697"/>
    <n v="101"/>
    <x v="0"/>
    <x v="0"/>
    <x v="5"/>
    <n v="1"/>
    <x v="2"/>
    <x v="0"/>
    <n v="0"/>
    <x v="0"/>
    <n v="0"/>
    <x v="1"/>
    <n v="0"/>
    <x v="2"/>
  </r>
  <r>
    <x v="698"/>
    <n v="101"/>
    <x v="1"/>
    <x v="1"/>
    <x v="5"/>
    <n v="1"/>
    <x v="2"/>
    <x v="0"/>
    <n v="0"/>
    <x v="0"/>
    <n v="0"/>
    <x v="1"/>
    <n v="1"/>
    <x v="0"/>
  </r>
  <r>
    <x v="699"/>
    <n v="101"/>
    <x v="0"/>
    <x v="0"/>
    <x v="2"/>
    <n v="1"/>
    <x v="3"/>
    <x v="1"/>
    <n v="0"/>
    <x v="0"/>
    <n v="0"/>
    <x v="1"/>
    <n v="0"/>
    <x v="1"/>
  </r>
  <r>
    <x v="700"/>
    <n v="101"/>
    <x v="1"/>
    <x v="1"/>
    <x v="0"/>
    <n v="1"/>
    <x v="3"/>
    <x v="0"/>
    <n v="1"/>
    <x v="0"/>
    <n v="0"/>
    <x v="1"/>
    <n v="0"/>
    <x v="1"/>
  </r>
  <r>
    <x v="701"/>
    <n v="101"/>
    <x v="0"/>
    <x v="0"/>
    <x v="2"/>
    <n v="1"/>
    <x v="3"/>
    <x v="0"/>
    <n v="0"/>
    <x v="0"/>
    <n v="0"/>
    <x v="1"/>
    <n v="0"/>
    <x v="3"/>
  </r>
  <r>
    <x v="702"/>
    <n v="101"/>
    <x v="0"/>
    <x v="0"/>
    <x v="0"/>
    <n v="1"/>
    <x v="3"/>
    <x v="1"/>
    <n v="0"/>
    <x v="0"/>
    <n v="0"/>
    <x v="1"/>
    <n v="1"/>
    <x v="2"/>
  </r>
  <r>
    <x v="703"/>
    <n v="101"/>
    <x v="1"/>
    <x v="1"/>
    <x v="5"/>
    <n v="1"/>
    <x v="2"/>
    <x v="0"/>
    <n v="0"/>
    <x v="0"/>
    <n v="0"/>
    <x v="1"/>
    <n v="1"/>
    <x v="1"/>
  </r>
  <r>
    <x v="704"/>
    <n v="101"/>
    <x v="0"/>
    <x v="0"/>
    <x v="1"/>
    <n v="1"/>
    <x v="0"/>
    <x v="0"/>
    <n v="0"/>
    <x v="0"/>
    <n v="0"/>
    <x v="1"/>
    <n v="0"/>
    <x v="1"/>
  </r>
  <r>
    <x v="705"/>
    <n v="101"/>
    <x v="0"/>
    <x v="0"/>
    <x v="5"/>
    <n v="1"/>
    <x v="1"/>
    <x v="1"/>
    <n v="1"/>
    <x v="0"/>
    <n v="1"/>
    <x v="0"/>
    <n v="0"/>
    <x v="4"/>
  </r>
  <r>
    <x v="706"/>
    <n v="101"/>
    <x v="1"/>
    <x v="1"/>
    <x v="0"/>
    <n v="1"/>
    <x v="1"/>
    <x v="0"/>
    <n v="1"/>
    <x v="2"/>
    <n v="0"/>
    <x v="1"/>
    <n v="1"/>
    <x v="1"/>
  </r>
  <r>
    <x v="707"/>
    <n v="101"/>
    <x v="0"/>
    <x v="0"/>
    <x v="2"/>
    <n v="1"/>
    <x v="1"/>
    <x v="0"/>
    <n v="0"/>
    <x v="0"/>
    <n v="0"/>
    <x v="1"/>
    <n v="2"/>
    <x v="2"/>
  </r>
  <r>
    <x v="708"/>
    <n v="101"/>
    <x v="1"/>
    <x v="1"/>
    <x v="2"/>
    <n v="1"/>
    <x v="3"/>
    <x v="0"/>
    <n v="0"/>
    <x v="0"/>
    <n v="0"/>
    <x v="2"/>
    <n v="99"/>
    <x v="2"/>
  </r>
  <r>
    <x v="709"/>
    <n v="101"/>
    <x v="0"/>
    <x v="0"/>
    <x v="5"/>
    <n v="1"/>
    <x v="2"/>
    <x v="1"/>
    <n v="0"/>
    <x v="0"/>
    <n v="0"/>
    <x v="1"/>
    <n v="0"/>
    <x v="1"/>
  </r>
  <r>
    <x v="710"/>
    <n v="101"/>
    <x v="1"/>
    <x v="1"/>
    <x v="5"/>
    <n v="1"/>
    <x v="2"/>
    <x v="1"/>
    <n v="0"/>
    <x v="2"/>
    <n v="0"/>
    <x v="1"/>
    <n v="0"/>
    <x v="2"/>
  </r>
  <r>
    <x v="711"/>
    <n v="101"/>
    <x v="1"/>
    <x v="1"/>
    <x v="3"/>
    <n v="1"/>
    <x v="2"/>
    <x v="2"/>
    <n v="2"/>
    <x v="0"/>
    <n v="1"/>
    <x v="0"/>
    <n v="1"/>
    <x v="4"/>
  </r>
  <r>
    <x v="712"/>
    <n v="101"/>
    <x v="0"/>
    <x v="0"/>
    <x v="2"/>
    <n v="1"/>
    <x v="2"/>
    <x v="1"/>
    <n v="0"/>
    <x v="0"/>
    <n v="0"/>
    <x v="1"/>
    <n v="0"/>
    <x v="0"/>
  </r>
  <r>
    <x v="713"/>
    <n v="101"/>
    <x v="1"/>
    <x v="1"/>
    <x v="2"/>
    <n v="1"/>
    <x v="3"/>
    <x v="1"/>
    <n v="0"/>
    <x v="0"/>
    <n v="0"/>
    <x v="1"/>
    <n v="1"/>
    <x v="2"/>
  </r>
  <r>
    <x v="714"/>
    <n v="101"/>
    <x v="1"/>
    <x v="1"/>
    <x v="0"/>
    <n v="1"/>
    <x v="3"/>
    <x v="2"/>
    <n v="0"/>
    <x v="0"/>
    <n v="0"/>
    <x v="1"/>
    <n v="1"/>
    <x v="2"/>
  </r>
  <r>
    <x v="715"/>
    <n v="101"/>
    <x v="1"/>
    <x v="1"/>
    <x v="2"/>
    <n v="1"/>
    <x v="1"/>
    <x v="0"/>
    <n v="0"/>
    <x v="0"/>
    <n v="0"/>
    <x v="1"/>
    <n v="0"/>
    <x v="1"/>
  </r>
  <r>
    <x v="716"/>
    <n v="101"/>
    <x v="0"/>
    <x v="0"/>
    <x v="0"/>
    <n v="1"/>
    <x v="2"/>
    <x v="2"/>
    <n v="0"/>
    <x v="2"/>
    <n v="0"/>
    <x v="1"/>
    <n v="1"/>
    <x v="1"/>
  </r>
  <r>
    <x v="717"/>
    <n v="101"/>
    <x v="1"/>
    <x v="1"/>
    <x v="0"/>
    <n v="1"/>
    <x v="3"/>
    <x v="0"/>
    <n v="0"/>
    <x v="0"/>
    <n v="0"/>
    <x v="1"/>
    <n v="1"/>
    <x v="2"/>
  </r>
  <r>
    <x v="718"/>
    <n v="101"/>
    <x v="0"/>
    <x v="0"/>
    <x v="0"/>
    <n v="1"/>
    <x v="2"/>
    <x v="2"/>
    <n v="0"/>
    <x v="0"/>
    <n v="0"/>
    <x v="0"/>
    <n v="1"/>
    <x v="2"/>
  </r>
  <r>
    <x v="719"/>
    <n v="101"/>
    <x v="1"/>
    <x v="1"/>
    <x v="2"/>
    <n v="1"/>
    <x v="3"/>
    <x v="2"/>
    <n v="2"/>
    <x v="1"/>
    <n v="1"/>
    <x v="0"/>
    <n v="0"/>
    <x v="0"/>
  </r>
  <r>
    <x v="720"/>
    <n v="101"/>
    <x v="0"/>
    <x v="0"/>
    <x v="0"/>
    <n v="1"/>
    <x v="0"/>
    <x v="0"/>
    <n v="0"/>
    <x v="0"/>
    <n v="0"/>
    <x v="1"/>
    <n v="0"/>
    <x v="2"/>
  </r>
  <r>
    <x v="721"/>
    <n v="101"/>
    <x v="1"/>
    <x v="1"/>
    <x v="0"/>
    <n v="1"/>
    <x v="2"/>
    <x v="1"/>
    <n v="0"/>
    <x v="2"/>
    <n v="0"/>
    <x v="1"/>
    <n v="1"/>
    <x v="1"/>
  </r>
  <r>
    <x v="722"/>
    <n v="101"/>
    <x v="1"/>
    <x v="1"/>
    <x v="2"/>
    <n v="1"/>
    <x v="3"/>
    <x v="1"/>
    <n v="0"/>
    <x v="2"/>
    <n v="0"/>
    <x v="1"/>
    <n v="0"/>
    <x v="0"/>
  </r>
  <r>
    <x v="723"/>
    <n v="101"/>
    <x v="1"/>
    <x v="1"/>
    <x v="0"/>
    <n v="1"/>
    <x v="1"/>
    <x v="2"/>
    <n v="1"/>
    <x v="2"/>
    <n v="1"/>
    <x v="1"/>
    <n v="2"/>
    <x v="2"/>
  </r>
  <r>
    <x v="724"/>
    <n v="101"/>
    <x v="0"/>
    <x v="0"/>
    <x v="1"/>
    <n v="1"/>
    <x v="2"/>
    <x v="0"/>
    <n v="0"/>
    <x v="0"/>
    <n v="0"/>
    <x v="1"/>
    <n v="0"/>
    <x v="1"/>
  </r>
  <r>
    <x v="725"/>
    <n v="101"/>
    <x v="1"/>
    <x v="1"/>
    <x v="5"/>
    <n v="1"/>
    <x v="2"/>
    <x v="1"/>
    <n v="1"/>
    <x v="0"/>
    <n v="0"/>
    <x v="1"/>
    <n v="0"/>
    <x v="2"/>
  </r>
  <r>
    <x v="726"/>
    <n v="101"/>
    <x v="0"/>
    <x v="0"/>
    <x v="5"/>
    <n v="1"/>
    <x v="2"/>
    <x v="0"/>
    <n v="0"/>
    <x v="2"/>
    <n v="0"/>
    <x v="0"/>
    <n v="0"/>
    <x v="2"/>
  </r>
  <r>
    <x v="727"/>
    <n v="101"/>
    <x v="1"/>
    <x v="1"/>
    <x v="0"/>
    <n v="1"/>
    <x v="3"/>
    <x v="2"/>
    <n v="2"/>
    <x v="2"/>
    <n v="2"/>
    <x v="2"/>
    <n v="1"/>
    <x v="2"/>
  </r>
  <r>
    <x v="728"/>
    <n v="101"/>
    <x v="1"/>
    <x v="1"/>
    <x v="2"/>
    <n v="1"/>
    <x v="2"/>
    <x v="1"/>
    <n v="0"/>
    <x v="0"/>
    <n v="0"/>
    <x v="1"/>
    <n v="0"/>
    <x v="1"/>
  </r>
  <r>
    <x v="729"/>
    <n v="101"/>
    <x v="1"/>
    <x v="1"/>
    <x v="3"/>
    <n v="1"/>
    <x v="0"/>
    <x v="3"/>
    <n v="99"/>
    <x v="3"/>
    <n v="99"/>
    <x v="3"/>
    <n v="99"/>
    <x v="2"/>
  </r>
  <r>
    <x v="730"/>
    <n v="101"/>
    <x v="1"/>
    <x v="1"/>
    <x v="7"/>
    <n v="0"/>
    <x v="1"/>
    <x v="2"/>
    <n v="1"/>
    <x v="1"/>
    <n v="0"/>
    <x v="1"/>
    <n v="0"/>
    <x v="1"/>
  </r>
  <r>
    <x v="731"/>
    <n v="101"/>
    <x v="0"/>
    <x v="0"/>
    <x v="0"/>
    <n v="1"/>
    <x v="3"/>
    <x v="0"/>
    <n v="0"/>
    <x v="0"/>
    <n v="0"/>
    <x v="1"/>
    <n v="0"/>
    <x v="2"/>
  </r>
  <r>
    <x v="732"/>
    <n v="101"/>
    <x v="0"/>
    <x v="0"/>
    <x v="5"/>
    <n v="1"/>
    <x v="1"/>
    <x v="0"/>
    <n v="1"/>
    <x v="0"/>
    <n v="0"/>
    <x v="0"/>
    <n v="0"/>
    <x v="2"/>
  </r>
  <r>
    <x v="733"/>
    <n v="101"/>
    <x v="0"/>
    <x v="0"/>
    <x v="2"/>
    <n v="1"/>
    <x v="2"/>
    <x v="0"/>
    <n v="0"/>
    <x v="0"/>
    <n v="99"/>
    <x v="0"/>
    <n v="0"/>
    <x v="1"/>
  </r>
  <r>
    <x v="734"/>
    <n v="101"/>
    <x v="0"/>
    <x v="0"/>
    <x v="5"/>
    <n v="1"/>
    <x v="1"/>
    <x v="1"/>
    <n v="0"/>
    <x v="0"/>
    <n v="0"/>
    <x v="2"/>
    <n v="1"/>
    <x v="4"/>
  </r>
  <r>
    <x v="735"/>
    <n v="101"/>
    <x v="1"/>
    <x v="1"/>
    <x v="5"/>
    <n v="1"/>
    <x v="1"/>
    <x v="1"/>
    <n v="0"/>
    <x v="0"/>
    <n v="0"/>
    <x v="1"/>
    <n v="1"/>
    <x v="2"/>
  </r>
  <r>
    <x v="736"/>
    <n v="101"/>
    <x v="0"/>
    <x v="0"/>
    <x v="2"/>
    <n v="1"/>
    <x v="0"/>
    <x v="0"/>
    <n v="0"/>
    <x v="0"/>
    <n v="0"/>
    <x v="1"/>
    <n v="0"/>
    <x v="2"/>
  </r>
  <r>
    <x v="737"/>
    <n v="101"/>
    <x v="1"/>
    <x v="1"/>
    <x v="5"/>
    <n v="1"/>
    <x v="3"/>
    <x v="0"/>
    <n v="0"/>
    <x v="0"/>
    <n v="0"/>
    <x v="1"/>
    <n v="1"/>
    <x v="2"/>
  </r>
  <r>
    <x v="738"/>
    <n v="101"/>
    <x v="0"/>
    <x v="0"/>
    <x v="2"/>
    <n v="1"/>
    <x v="3"/>
    <x v="0"/>
    <n v="0"/>
    <x v="1"/>
    <n v="0"/>
    <x v="1"/>
    <n v="0"/>
    <x v="2"/>
  </r>
  <r>
    <x v="739"/>
    <n v="101"/>
    <x v="0"/>
    <x v="0"/>
    <x v="3"/>
    <n v="1"/>
    <x v="1"/>
    <x v="1"/>
    <n v="0"/>
    <x v="0"/>
    <n v="0"/>
    <x v="1"/>
    <n v="1"/>
    <x v="3"/>
  </r>
  <r>
    <x v="740"/>
    <n v="101"/>
    <x v="1"/>
    <x v="1"/>
    <x v="0"/>
    <n v="1"/>
    <x v="1"/>
    <x v="2"/>
    <n v="2"/>
    <x v="1"/>
    <n v="2"/>
    <x v="1"/>
    <n v="1"/>
    <x v="2"/>
  </r>
  <r>
    <x v="741"/>
    <n v="101"/>
    <x v="1"/>
    <x v="1"/>
    <x v="2"/>
    <n v="1"/>
    <x v="1"/>
    <x v="1"/>
    <n v="0"/>
    <x v="0"/>
    <n v="1"/>
    <x v="1"/>
    <n v="99"/>
    <x v="1"/>
  </r>
  <r>
    <x v="742"/>
    <n v="101"/>
    <x v="1"/>
    <x v="1"/>
    <x v="1"/>
    <n v="1"/>
    <x v="3"/>
    <x v="0"/>
    <n v="0"/>
    <x v="0"/>
    <n v="0"/>
    <x v="1"/>
    <n v="1"/>
    <x v="0"/>
  </r>
  <r>
    <x v="743"/>
    <n v="101"/>
    <x v="0"/>
    <x v="0"/>
    <x v="2"/>
    <n v="1"/>
    <x v="1"/>
    <x v="0"/>
    <n v="0"/>
    <x v="0"/>
    <n v="0"/>
    <x v="2"/>
    <n v="1"/>
    <x v="0"/>
  </r>
  <r>
    <x v="744"/>
    <n v="101"/>
    <x v="0"/>
    <x v="0"/>
    <x v="8"/>
    <n v="1"/>
    <x v="2"/>
    <x v="1"/>
    <n v="0"/>
    <x v="0"/>
    <n v="0"/>
    <x v="0"/>
    <n v="2"/>
    <x v="1"/>
  </r>
  <r>
    <x v="745"/>
    <n v="101"/>
    <x v="1"/>
    <x v="1"/>
    <x v="2"/>
    <n v="1"/>
    <x v="1"/>
    <x v="2"/>
    <n v="0"/>
    <x v="0"/>
    <n v="0"/>
    <x v="1"/>
    <n v="0"/>
    <x v="2"/>
  </r>
  <r>
    <x v="746"/>
    <n v="101"/>
    <x v="1"/>
    <x v="1"/>
    <x v="5"/>
    <n v="1"/>
    <x v="2"/>
    <x v="1"/>
    <n v="1"/>
    <x v="0"/>
    <n v="0"/>
    <x v="0"/>
    <n v="1"/>
    <x v="1"/>
  </r>
  <r>
    <x v="747"/>
    <n v="101"/>
    <x v="0"/>
    <x v="0"/>
    <x v="5"/>
    <n v="1"/>
    <x v="0"/>
    <x v="0"/>
    <n v="0"/>
    <x v="0"/>
    <n v="0"/>
    <x v="1"/>
    <n v="0"/>
    <x v="2"/>
  </r>
  <r>
    <x v="748"/>
    <n v="101"/>
    <x v="0"/>
    <x v="0"/>
    <x v="1"/>
    <n v="1"/>
    <x v="1"/>
    <x v="2"/>
    <n v="0"/>
    <x v="2"/>
    <n v="0"/>
    <x v="1"/>
    <n v="0"/>
    <x v="2"/>
  </r>
  <r>
    <x v="749"/>
    <n v="101"/>
    <x v="1"/>
    <x v="1"/>
    <x v="3"/>
    <n v="1"/>
    <x v="0"/>
    <x v="1"/>
    <n v="2"/>
    <x v="2"/>
    <n v="1"/>
    <x v="0"/>
    <n v="1"/>
    <x v="2"/>
  </r>
  <r>
    <x v="750"/>
    <n v="101"/>
    <x v="0"/>
    <x v="0"/>
    <x v="5"/>
    <n v="1"/>
    <x v="3"/>
    <x v="1"/>
    <n v="1"/>
    <x v="0"/>
    <n v="0"/>
    <x v="0"/>
    <n v="2"/>
    <x v="0"/>
  </r>
  <r>
    <x v="751"/>
    <n v="101"/>
    <x v="1"/>
    <x v="1"/>
    <x v="4"/>
    <n v="0"/>
    <x v="2"/>
    <x v="1"/>
    <n v="0"/>
    <x v="0"/>
    <n v="0"/>
    <x v="1"/>
    <n v="1"/>
    <x v="2"/>
  </r>
  <r>
    <x v="752"/>
    <n v="101"/>
    <x v="1"/>
    <x v="1"/>
    <x v="2"/>
    <n v="1"/>
    <x v="0"/>
    <x v="1"/>
    <n v="2"/>
    <x v="2"/>
    <n v="1"/>
    <x v="1"/>
    <n v="1"/>
    <x v="1"/>
  </r>
  <r>
    <x v="753"/>
    <n v="101"/>
    <x v="0"/>
    <x v="0"/>
    <x v="6"/>
    <n v="0"/>
    <x v="1"/>
    <x v="0"/>
    <n v="0"/>
    <x v="0"/>
    <n v="0"/>
    <x v="3"/>
    <n v="0"/>
    <x v="1"/>
  </r>
  <r>
    <x v="754"/>
    <n v="101"/>
    <x v="1"/>
    <x v="1"/>
    <x v="1"/>
    <n v="1"/>
    <x v="1"/>
    <x v="0"/>
    <n v="0"/>
    <x v="1"/>
    <n v="0"/>
    <x v="2"/>
    <n v="0"/>
    <x v="2"/>
  </r>
  <r>
    <x v="755"/>
    <n v="101"/>
    <x v="0"/>
    <x v="0"/>
    <x v="1"/>
    <n v="1"/>
    <x v="1"/>
    <x v="1"/>
    <n v="0"/>
    <x v="1"/>
    <n v="99"/>
    <x v="1"/>
    <n v="1"/>
    <x v="2"/>
  </r>
  <r>
    <x v="756"/>
    <n v="101"/>
    <x v="0"/>
    <x v="0"/>
    <x v="1"/>
    <n v="1"/>
    <x v="3"/>
    <x v="0"/>
    <n v="0"/>
    <x v="1"/>
    <n v="0"/>
    <x v="1"/>
    <n v="0"/>
    <x v="0"/>
  </r>
  <r>
    <x v="757"/>
    <n v="101"/>
    <x v="0"/>
    <x v="0"/>
    <x v="0"/>
    <n v="1"/>
    <x v="3"/>
    <x v="0"/>
    <n v="0"/>
    <x v="0"/>
    <n v="0"/>
    <x v="1"/>
    <n v="0"/>
    <x v="2"/>
  </r>
  <r>
    <x v="758"/>
    <n v="101"/>
    <x v="1"/>
    <x v="1"/>
    <x v="5"/>
    <n v="1"/>
    <x v="2"/>
    <x v="0"/>
    <n v="0"/>
    <x v="0"/>
    <n v="0"/>
    <x v="1"/>
    <n v="0"/>
    <x v="2"/>
  </r>
  <r>
    <x v="759"/>
    <n v="101"/>
    <x v="0"/>
    <x v="0"/>
    <x v="2"/>
    <n v="1"/>
    <x v="1"/>
    <x v="0"/>
    <n v="0"/>
    <x v="0"/>
    <n v="0"/>
    <x v="1"/>
    <n v="0"/>
    <x v="0"/>
  </r>
  <r>
    <x v="760"/>
    <n v="101"/>
    <x v="0"/>
    <x v="0"/>
    <x v="2"/>
    <n v="1"/>
    <x v="2"/>
    <x v="0"/>
    <n v="0"/>
    <x v="0"/>
    <n v="1"/>
    <x v="0"/>
    <n v="1"/>
    <x v="0"/>
  </r>
  <r>
    <x v="761"/>
    <n v="101"/>
    <x v="1"/>
    <x v="1"/>
    <x v="2"/>
    <n v="1"/>
    <x v="1"/>
    <x v="2"/>
    <n v="1"/>
    <x v="0"/>
    <n v="1"/>
    <x v="0"/>
    <n v="2"/>
    <x v="2"/>
  </r>
  <r>
    <x v="762"/>
    <n v="101"/>
    <x v="0"/>
    <x v="0"/>
    <x v="5"/>
    <n v="1"/>
    <x v="1"/>
    <x v="2"/>
    <n v="1"/>
    <x v="2"/>
    <n v="0"/>
    <x v="1"/>
    <n v="0"/>
    <x v="2"/>
  </r>
  <r>
    <x v="763"/>
    <n v="101"/>
    <x v="1"/>
    <x v="1"/>
    <x v="5"/>
    <n v="1"/>
    <x v="1"/>
    <x v="1"/>
    <n v="0"/>
    <x v="0"/>
    <n v="0"/>
    <x v="1"/>
    <n v="2"/>
    <x v="1"/>
  </r>
  <r>
    <x v="764"/>
    <n v="101"/>
    <x v="1"/>
    <x v="1"/>
    <x v="5"/>
    <n v="1"/>
    <x v="0"/>
    <x v="1"/>
    <n v="0"/>
    <x v="0"/>
    <n v="0"/>
    <x v="1"/>
    <n v="1"/>
    <x v="4"/>
  </r>
  <r>
    <x v="765"/>
    <n v="101"/>
    <x v="1"/>
    <x v="1"/>
    <x v="2"/>
    <n v="1"/>
    <x v="2"/>
    <x v="0"/>
    <n v="0"/>
    <x v="0"/>
    <n v="0"/>
    <x v="1"/>
    <n v="2"/>
    <x v="2"/>
  </r>
  <r>
    <x v="766"/>
    <n v="101"/>
    <x v="0"/>
    <x v="0"/>
    <x v="5"/>
    <n v="1"/>
    <x v="1"/>
    <x v="2"/>
    <n v="0"/>
    <x v="2"/>
    <n v="0"/>
    <x v="1"/>
    <n v="0"/>
    <x v="0"/>
  </r>
  <r>
    <x v="767"/>
    <n v="101"/>
    <x v="1"/>
    <x v="1"/>
    <x v="0"/>
    <n v="1"/>
    <x v="1"/>
    <x v="1"/>
    <n v="0"/>
    <x v="0"/>
    <n v="1"/>
    <x v="0"/>
    <n v="0"/>
    <x v="1"/>
  </r>
  <r>
    <x v="768"/>
    <n v="101"/>
    <x v="0"/>
    <x v="0"/>
    <x v="2"/>
    <n v="1"/>
    <x v="1"/>
    <x v="0"/>
    <n v="0"/>
    <x v="0"/>
    <n v="0"/>
    <x v="1"/>
    <n v="0"/>
    <x v="2"/>
  </r>
  <r>
    <x v="769"/>
    <n v="101"/>
    <x v="1"/>
    <x v="1"/>
    <x v="1"/>
    <n v="1"/>
    <x v="3"/>
    <x v="0"/>
    <n v="1"/>
    <x v="1"/>
    <n v="0"/>
    <x v="1"/>
    <n v="1"/>
    <x v="2"/>
  </r>
  <r>
    <x v="770"/>
    <n v="101"/>
    <x v="0"/>
    <x v="0"/>
    <x v="2"/>
    <n v="1"/>
    <x v="1"/>
    <x v="1"/>
    <n v="0"/>
    <x v="0"/>
    <n v="0"/>
    <x v="1"/>
    <n v="0"/>
    <x v="1"/>
  </r>
  <r>
    <x v="771"/>
    <n v="101"/>
    <x v="1"/>
    <x v="1"/>
    <x v="5"/>
    <n v="1"/>
    <x v="2"/>
    <x v="2"/>
    <n v="0"/>
    <x v="0"/>
    <n v="1"/>
    <x v="0"/>
    <n v="1"/>
    <x v="1"/>
  </r>
  <r>
    <x v="772"/>
    <n v="101"/>
    <x v="0"/>
    <x v="0"/>
    <x v="5"/>
    <n v="1"/>
    <x v="2"/>
    <x v="1"/>
    <n v="0"/>
    <x v="0"/>
    <n v="0"/>
    <x v="1"/>
    <n v="0"/>
    <x v="0"/>
  </r>
  <r>
    <x v="773"/>
    <n v="101"/>
    <x v="0"/>
    <x v="0"/>
    <x v="5"/>
    <n v="1"/>
    <x v="2"/>
    <x v="0"/>
    <n v="0"/>
    <x v="0"/>
    <n v="0"/>
    <x v="1"/>
    <n v="1"/>
    <x v="2"/>
  </r>
  <r>
    <x v="774"/>
    <n v="101"/>
    <x v="1"/>
    <x v="1"/>
    <x v="0"/>
    <n v="1"/>
    <x v="1"/>
    <x v="1"/>
    <n v="0"/>
    <x v="0"/>
    <n v="1"/>
    <x v="1"/>
    <n v="1"/>
    <x v="2"/>
  </r>
  <r>
    <x v="775"/>
    <n v="101"/>
    <x v="0"/>
    <x v="0"/>
    <x v="2"/>
    <n v="1"/>
    <x v="0"/>
    <x v="0"/>
    <n v="0"/>
    <x v="0"/>
    <n v="0"/>
    <x v="1"/>
    <n v="0"/>
    <x v="1"/>
  </r>
  <r>
    <x v="776"/>
    <n v="101"/>
    <x v="0"/>
    <x v="0"/>
    <x v="0"/>
    <n v="1"/>
    <x v="1"/>
    <x v="2"/>
    <n v="2"/>
    <x v="2"/>
    <n v="1"/>
    <x v="0"/>
    <n v="99"/>
    <x v="3"/>
  </r>
  <r>
    <x v="777"/>
    <n v="101"/>
    <x v="0"/>
    <x v="0"/>
    <x v="5"/>
    <n v="1"/>
    <x v="1"/>
    <x v="2"/>
    <n v="2"/>
    <x v="0"/>
    <n v="1"/>
    <x v="1"/>
    <n v="1"/>
    <x v="1"/>
  </r>
  <r>
    <x v="778"/>
    <n v="101"/>
    <x v="1"/>
    <x v="1"/>
    <x v="2"/>
    <n v="1"/>
    <x v="1"/>
    <x v="2"/>
    <n v="1"/>
    <x v="2"/>
    <n v="0"/>
    <x v="1"/>
    <n v="0"/>
    <x v="0"/>
  </r>
  <r>
    <x v="779"/>
    <n v="101"/>
    <x v="0"/>
    <x v="0"/>
    <x v="0"/>
    <n v="1"/>
    <x v="3"/>
    <x v="2"/>
    <n v="1"/>
    <x v="1"/>
    <n v="0"/>
    <x v="1"/>
    <n v="0"/>
    <x v="1"/>
  </r>
  <r>
    <x v="780"/>
    <n v="101"/>
    <x v="1"/>
    <x v="1"/>
    <x v="5"/>
    <n v="1"/>
    <x v="2"/>
    <x v="2"/>
    <n v="2"/>
    <x v="1"/>
    <n v="1"/>
    <x v="0"/>
    <n v="0"/>
    <x v="2"/>
  </r>
  <r>
    <x v="781"/>
    <n v="101"/>
    <x v="0"/>
    <x v="0"/>
    <x v="5"/>
    <n v="1"/>
    <x v="0"/>
    <x v="0"/>
    <n v="0"/>
    <x v="0"/>
    <n v="0"/>
    <x v="1"/>
    <n v="0"/>
    <x v="2"/>
  </r>
  <r>
    <x v="782"/>
    <n v="101"/>
    <x v="0"/>
    <x v="0"/>
    <x v="5"/>
    <n v="1"/>
    <x v="2"/>
    <x v="1"/>
    <n v="0"/>
    <x v="0"/>
    <n v="0"/>
    <x v="1"/>
    <n v="0"/>
    <x v="1"/>
  </r>
  <r>
    <x v="783"/>
    <n v="101"/>
    <x v="1"/>
    <x v="1"/>
    <x v="3"/>
    <n v="1"/>
    <x v="0"/>
    <x v="0"/>
    <n v="1"/>
    <x v="0"/>
    <n v="1"/>
    <x v="0"/>
    <n v="1"/>
    <x v="3"/>
  </r>
  <r>
    <x v="784"/>
    <n v="101"/>
    <x v="1"/>
    <x v="1"/>
    <x v="1"/>
    <n v="1"/>
    <x v="1"/>
    <x v="1"/>
    <n v="0"/>
    <x v="0"/>
    <n v="0"/>
    <x v="1"/>
    <n v="1"/>
    <x v="2"/>
  </r>
  <r>
    <x v="785"/>
    <n v="101"/>
    <x v="0"/>
    <x v="0"/>
    <x v="5"/>
    <n v="1"/>
    <x v="3"/>
    <x v="1"/>
    <n v="0"/>
    <x v="2"/>
    <n v="0"/>
    <x v="1"/>
    <n v="1"/>
    <x v="4"/>
  </r>
  <r>
    <x v="786"/>
    <n v="101"/>
    <x v="1"/>
    <x v="1"/>
    <x v="3"/>
    <n v="1"/>
    <x v="0"/>
    <x v="0"/>
    <n v="0"/>
    <x v="0"/>
    <n v="0"/>
    <x v="0"/>
    <n v="1"/>
    <x v="2"/>
  </r>
  <r>
    <x v="787"/>
    <n v="101"/>
    <x v="1"/>
    <x v="1"/>
    <x v="7"/>
    <n v="0"/>
    <x v="1"/>
    <x v="2"/>
    <n v="0"/>
    <x v="1"/>
    <n v="0"/>
    <x v="1"/>
    <n v="0"/>
    <x v="0"/>
  </r>
  <r>
    <x v="788"/>
    <n v="101"/>
    <x v="0"/>
    <x v="0"/>
    <x v="2"/>
    <n v="1"/>
    <x v="1"/>
    <x v="0"/>
    <n v="0"/>
    <x v="0"/>
    <n v="0"/>
    <x v="1"/>
    <n v="0"/>
    <x v="1"/>
  </r>
  <r>
    <x v="789"/>
    <n v="101"/>
    <x v="1"/>
    <x v="1"/>
    <x v="1"/>
    <n v="1"/>
    <x v="1"/>
    <x v="2"/>
    <n v="1"/>
    <x v="1"/>
    <n v="1"/>
    <x v="1"/>
    <n v="0"/>
    <x v="4"/>
  </r>
  <r>
    <x v="790"/>
    <n v="101"/>
    <x v="1"/>
    <x v="1"/>
    <x v="1"/>
    <n v="1"/>
    <x v="3"/>
    <x v="2"/>
    <n v="2"/>
    <x v="2"/>
    <n v="0"/>
    <x v="1"/>
    <n v="1"/>
    <x v="2"/>
  </r>
  <r>
    <x v="791"/>
    <n v="101"/>
    <x v="1"/>
    <x v="1"/>
    <x v="0"/>
    <n v="1"/>
    <x v="1"/>
    <x v="1"/>
    <n v="1"/>
    <x v="2"/>
    <n v="0"/>
    <x v="0"/>
    <n v="1"/>
    <x v="2"/>
  </r>
  <r>
    <x v="792"/>
    <n v="101"/>
    <x v="1"/>
    <x v="1"/>
    <x v="2"/>
    <n v="1"/>
    <x v="2"/>
    <x v="0"/>
    <n v="0"/>
    <x v="0"/>
    <n v="0"/>
    <x v="1"/>
    <n v="0"/>
    <x v="2"/>
  </r>
  <r>
    <x v="793"/>
    <n v="101"/>
    <x v="1"/>
    <x v="1"/>
    <x v="1"/>
    <n v="1"/>
    <x v="2"/>
    <x v="1"/>
    <n v="1"/>
    <x v="2"/>
    <n v="0"/>
    <x v="0"/>
    <n v="0"/>
    <x v="2"/>
  </r>
  <r>
    <x v="794"/>
    <n v="101"/>
    <x v="1"/>
    <x v="1"/>
    <x v="0"/>
    <n v="1"/>
    <x v="2"/>
    <x v="0"/>
    <n v="0"/>
    <x v="0"/>
    <n v="0"/>
    <x v="1"/>
    <n v="0"/>
    <x v="0"/>
  </r>
  <r>
    <x v="795"/>
    <n v="101"/>
    <x v="0"/>
    <x v="0"/>
    <x v="1"/>
    <n v="1"/>
    <x v="0"/>
    <x v="0"/>
    <n v="0"/>
    <x v="0"/>
    <n v="0"/>
    <x v="0"/>
    <n v="0"/>
    <x v="2"/>
  </r>
  <r>
    <x v="796"/>
    <n v="101"/>
    <x v="0"/>
    <x v="0"/>
    <x v="0"/>
    <n v="1"/>
    <x v="3"/>
    <x v="0"/>
    <n v="0"/>
    <x v="0"/>
    <n v="0"/>
    <x v="0"/>
    <n v="1"/>
    <x v="2"/>
  </r>
  <r>
    <x v="797"/>
    <n v="101"/>
    <x v="1"/>
    <x v="1"/>
    <x v="2"/>
    <n v="1"/>
    <x v="1"/>
    <x v="1"/>
    <n v="0"/>
    <x v="0"/>
    <n v="0"/>
    <x v="1"/>
    <n v="1"/>
    <x v="2"/>
  </r>
  <r>
    <x v="798"/>
    <n v="101"/>
    <x v="1"/>
    <x v="1"/>
    <x v="5"/>
    <n v="1"/>
    <x v="3"/>
    <x v="1"/>
    <n v="1"/>
    <x v="0"/>
    <n v="0"/>
    <x v="0"/>
    <n v="1"/>
    <x v="1"/>
  </r>
  <r>
    <x v="799"/>
    <n v="101"/>
    <x v="1"/>
    <x v="1"/>
    <x v="1"/>
    <n v="1"/>
    <x v="0"/>
    <x v="2"/>
    <n v="0"/>
    <x v="2"/>
    <n v="0"/>
    <x v="0"/>
    <n v="1"/>
    <x v="1"/>
  </r>
  <r>
    <x v="800"/>
    <n v="101"/>
    <x v="1"/>
    <x v="1"/>
    <x v="5"/>
    <n v="1"/>
    <x v="0"/>
    <x v="1"/>
    <n v="2"/>
    <x v="2"/>
    <n v="0"/>
    <x v="1"/>
    <n v="2"/>
    <x v="1"/>
  </r>
  <r>
    <x v="801"/>
    <n v="101"/>
    <x v="0"/>
    <x v="0"/>
    <x v="5"/>
    <n v="1"/>
    <x v="1"/>
    <x v="0"/>
    <n v="0"/>
    <x v="0"/>
    <n v="0"/>
    <x v="2"/>
    <n v="0"/>
    <x v="0"/>
  </r>
  <r>
    <x v="802"/>
    <n v="101"/>
    <x v="0"/>
    <x v="0"/>
    <x v="4"/>
    <n v="0"/>
    <x v="3"/>
    <x v="0"/>
    <n v="0"/>
    <x v="0"/>
    <n v="0"/>
    <x v="1"/>
    <n v="0"/>
    <x v="1"/>
  </r>
  <r>
    <x v="803"/>
    <n v="101"/>
    <x v="0"/>
    <x v="0"/>
    <x v="0"/>
    <n v="1"/>
    <x v="3"/>
    <x v="0"/>
    <n v="0"/>
    <x v="0"/>
    <n v="0"/>
    <x v="1"/>
    <n v="2"/>
    <x v="2"/>
  </r>
  <r>
    <x v="804"/>
    <n v="101"/>
    <x v="0"/>
    <x v="0"/>
    <x v="5"/>
    <n v="1"/>
    <x v="1"/>
    <x v="0"/>
    <n v="0"/>
    <x v="0"/>
    <n v="0"/>
    <x v="0"/>
    <n v="1"/>
    <x v="1"/>
  </r>
  <r>
    <x v="805"/>
    <n v="101"/>
    <x v="1"/>
    <x v="1"/>
    <x v="5"/>
    <n v="1"/>
    <x v="2"/>
    <x v="0"/>
    <n v="0"/>
    <x v="0"/>
    <n v="0"/>
    <x v="1"/>
    <n v="0"/>
    <x v="2"/>
  </r>
  <r>
    <x v="806"/>
    <n v="101"/>
    <x v="0"/>
    <x v="0"/>
    <x v="2"/>
    <n v="1"/>
    <x v="0"/>
    <x v="3"/>
    <n v="99"/>
    <x v="3"/>
    <n v="99"/>
    <x v="3"/>
    <n v="99"/>
    <x v="2"/>
  </r>
  <r>
    <x v="807"/>
    <n v="101"/>
    <x v="1"/>
    <x v="1"/>
    <x v="3"/>
    <n v="1"/>
    <x v="0"/>
    <x v="0"/>
    <n v="0"/>
    <x v="0"/>
    <n v="0"/>
    <x v="1"/>
    <n v="0"/>
    <x v="0"/>
  </r>
  <r>
    <x v="808"/>
    <n v="101"/>
    <x v="0"/>
    <x v="0"/>
    <x v="1"/>
    <n v="1"/>
    <x v="1"/>
    <x v="2"/>
    <n v="1"/>
    <x v="2"/>
    <n v="0"/>
    <x v="1"/>
    <n v="0"/>
    <x v="4"/>
  </r>
  <r>
    <x v="809"/>
    <n v="101"/>
    <x v="1"/>
    <x v="1"/>
    <x v="0"/>
    <n v="1"/>
    <x v="3"/>
    <x v="0"/>
    <n v="0"/>
    <x v="0"/>
    <n v="0"/>
    <x v="1"/>
    <n v="0"/>
    <x v="2"/>
  </r>
  <r>
    <x v="810"/>
    <n v="101"/>
    <x v="0"/>
    <x v="0"/>
    <x v="2"/>
    <n v="1"/>
    <x v="1"/>
    <x v="1"/>
    <n v="0"/>
    <x v="0"/>
    <n v="0"/>
    <x v="1"/>
    <n v="0"/>
    <x v="0"/>
  </r>
  <r>
    <x v="811"/>
    <n v="101"/>
    <x v="1"/>
    <x v="1"/>
    <x v="5"/>
    <n v="1"/>
    <x v="1"/>
    <x v="0"/>
    <n v="0"/>
    <x v="0"/>
    <n v="0"/>
    <x v="1"/>
    <n v="0"/>
    <x v="1"/>
  </r>
  <r>
    <x v="812"/>
    <n v="101"/>
    <x v="0"/>
    <x v="0"/>
    <x v="1"/>
    <n v="1"/>
    <x v="1"/>
    <x v="1"/>
    <n v="0"/>
    <x v="0"/>
    <n v="0"/>
    <x v="1"/>
    <n v="1"/>
    <x v="0"/>
  </r>
  <r>
    <x v="813"/>
    <n v="101"/>
    <x v="1"/>
    <x v="1"/>
    <x v="2"/>
    <n v="1"/>
    <x v="3"/>
    <x v="0"/>
    <n v="0"/>
    <x v="0"/>
    <n v="0"/>
    <x v="1"/>
    <n v="0"/>
    <x v="1"/>
  </r>
  <r>
    <x v="814"/>
    <n v="101"/>
    <x v="0"/>
    <x v="0"/>
    <x v="3"/>
    <n v="1"/>
    <x v="0"/>
    <x v="0"/>
    <n v="0"/>
    <x v="0"/>
    <n v="0"/>
    <x v="1"/>
    <n v="1"/>
    <x v="3"/>
  </r>
  <r>
    <x v="815"/>
    <n v="101"/>
    <x v="0"/>
    <x v="0"/>
    <x v="1"/>
    <n v="1"/>
    <x v="1"/>
    <x v="2"/>
    <n v="1"/>
    <x v="0"/>
    <n v="0"/>
    <x v="1"/>
    <n v="1"/>
    <x v="3"/>
  </r>
  <r>
    <x v="816"/>
    <n v="101"/>
    <x v="1"/>
    <x v="1"/>
    <x v="0"/>
    <n v="1"/>
    <x v="1"/>
    <x v="1"/>
    <n v="1"/>
    <x v="2"/>
    <n v="0"/>
    <x v="1"/>
    <n v="1"/>
    <x v="1"/>
  </r>
  <r>
    <x v="817"/>
    <n v="101"/>
    <x v="1"/>
    <x v="1"/>
    <x v="1"/>
    <n v="1"/>
    <x v="1"/>
    <x v="1"/>
    <n v="1"/>
    <x v="0"/>
    <n v="1"/>
    <x v="0"/>
    <n v="1"/>
    <x v="1"/>
  </r>
  <r>
    <x v="818"/>
    <n v="101"/>
    <x v="1"/>
    <x v="1"/>
    <x v="5"/>
    <n v="1"/>
    <x v="3"/>
    <x v="0"/>
    <n v="0"/>
    <x v="0"/>
    <n v="0"/>
    <x v="1"/>
    <n v="0"/>
    <x v="2"/>
  </r>
  <r>
    <x v="819"/>
    <n v="101"/>
    <x v="0"/>
    <x v="0"/>
    <x v="1"/>
    <n v="1"/>
    <x v="3"/>
    <x v="1"/>
    <n v="0"/>
    <x v="0"/>
    <n v="0"/>
    <x v="1"/>
    <n v="0"/>
    <x v="2"/>
  </r>
  <r>
    <x v="820"/>
    <n v="101"/>
    <x v="0"/>
    <x v="0"/>
    <x v="5"/>
    <n v="1"/>
    <x v="3"/>
    <x v="0"/>
    <n v="0"/>
    <x v="0"/>
    <n v="0"/>
    <x v="1"/>
    <n v="0"/>
    <x v="2"/>
  </r>
  <r>
    <x v="821"/>
    <n v="101"/>
    <x v="1"/>
    <x v="1"/>
    <x v="1"/>
    <n v="1"/>
    <x v="1"/>
    <x v="2"/>
    <n v="2"/>
    <x v="2"/>
    <n v="1"/>
    <x v="1"/>
    <n v="0"/>
    <x v="3"/>
  </r>
  <r>
    <x v="822"/>
    <n v="101"/>
    <x v="0"/>
    <x v="0"/>
    <x v="1"/>
    <n v="1"/>
    <x v="2"/>
    <x v="0"/>
    <n v="0"/>
    <x v="0"/>
    <n v="0"/>
    <x v="1"/>
    <n v="0"/>
    <x v="2"/>
  </r>
  <r>
    <x v="823"/>
    <n v="101"/>
    <x v="0"/>
    <x v="0"/>
    <x v="0"/>
    <n v="1"/>
    <x v="1"/>
    <x v="1"/>
    <n v="1"/>
    <x v="1"/>
    <n v="0"/>
    <x v="0"/>
    <n v="1"/>
    <x v="3"/>
  </r>
  <r>
    <x v="824"/>
    <n v="101"/>
    <x v="0"/>
    <x v="0"/>
    <x v="0"/>
    <n v="1"/>
    <x v="3"/>
    <x v="0"/>
    <n v="0"/>
    <x v="0"/>
    <n v="0"/>
    <x v="1"/>
    <n v="0"/>
    <x v="3"/>
  </r>
  <r>
    <x v="825"/>
    <n v="101"/>
    <x v="1"/>
    <x v="1"/>
    <x v="5"/>
    <n v="1"/>
    <x v="3"/>
    <x v="1"/>
    <n v="0"/>
    <x v="0"/>
    <n v="0"/>
    <x v="0"/>
    <n v="0"/>
    <x v="3"/>
  </r>
  <r>
    <x v="826"/>
    <n v="101"/>
    <x v="1"/>
    <x v="1"/>
    <x v="1"/>
    <n v="1"/>
    <x v="2"/>
    <x v="1"/>
    <n v="1"/>
    <x v="0"/>
    <n v="1"/>
    <x v="0"/>
    <n v="1"/>
    <x v="2"/>
  </r>
  <r>
    <x v="827"/>
    <n v="101"/>
    <x v="1"/>
    <x v="1"/>
    <x v="6"/>
    <n v="0"/>
    <x v="1"/>
    <x v="0"/>
    <n v="0"/>
    <x v="0"/>
    <n v="0"/>
    <x v="1"/>
    <n v="0"/>
    <x v="3"/>
  </r>
  <r>
    <x v="828"/>
    <n v="101"/>
    <x v="1"/>
    <x v="1"/>
    <x v="5"/>
    <n v="1"/>
    <x v="2"/>
    <x v="1"/>
    <n v="0"/>
    <x v="0"/>
    <n v="1"/>
    <x v="1"/>
    <n v="1"/>
    <x v="3"/>
  </r>
  <r>
    <x v="829"/>
    <n v="101"/>
    <x v="1"/>
    <x v="1"/>
    <x v="0"/>
    <n v="1"/>
    <x v="1"/>
    <x v="2"/>
    <n v="0"/>
    <x v="0"/>
    <n v="0"/>
    <x v="1"/>
    <n v="0"/>
    <x v="1"/>
  </r>
  <r>
    <x v="830"/>
    <n v="101"/>
    <x v="0"/>
    <x v="0"/>
    <x v="2"/>
    <n v="1"/>
    <x v="1"/>
    <x v="2"/>
    <n v="0"/>
    <x v="0"/>
    <n v="0"/>
    <x v="0"/>
    <n v="1"/>
    <x v="2"/>
  </r>
  <r>
    <x v="831"/>
    <n v="101"/>
    <x v="1"/>
    <x v="1"/>
    <x v="2"/>
    <n v="1"/>
    <x v="3"/>
    <x v="0"/>
    <n v="1"/>
    <x v="0"/>
    <n v="0"/>
    <x v="1"/>
    <n v="0"/>
    <x v="3"/>
  </r>
  <r>
    <x v="832"/>
    <n v="101"/>
    <x v="1"/>
    <x v="1"/>
    <x v="5"/>
    <n v="1"/>
    <x v="2"/>
    <x v="0"/>
    <n v="0"/>
    <x v="0"/>
    <n v="0"/>
    <x v="0"/>
    <n v="1"/>
    <x v="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34">
  <r>
    <n v="1"/>
    <n v="101"/>
    <n v="2"/>
    <x v="0"/>
    <x v="0"/>
    <n v="1"/>
    <n v="99"/>
    <n v="0"/>
    <n v="0"/>
    <n v="2"/>
    <n v="0"/>
    <n v="1"/>
    <n v="1"/>
    <n v="10"/>
  </r>
  <r>
    <n v="2"/>
    <n v="101"/>
    <n v="2"/>
    <x v="0"/>
    <x v="1"/>
    <n v="1"/>
    <n v="2"/>
    <n v="1"/>
    <n v="0"/>
    <n v="2"/>
    <n v="0"/>
    <n v="1"/>
    <n v="1"/>
    <n v="9"/>
  </r>
  <r>
    <n v="3"/>
    <n v="101"/>
    <n v="1"/>
    <x v="1"/>
    <x v="2"/>
    <n v="1"/>
    <n v="2"/>
    <n v="2"/>
    <n v="2"/>
    <n v="0"/>
    <n v="2"/>
    <n v="0"/>
    <n v="0"/>
    <n v="8"/>
  </r>
  <r>
    <n v="4"/>
    <n v="101"/>
    <n v="1"/>
    <x v="1"/>
    <x v="3"/>
    <n v="1"/>
    <n v="1"/>
    <n v="0"/>
    <n v="0"/>
    <n v="2"/>
    <n v="0"/>
    <n v="0"/>
    <n v="0"/>
    <n v="7"/>
  </r>
  <r>
    <n v="5"/>
    <n v="101"/>
    <n v="1"/>
    <x v="1"/>
    <x v="4"/>
    <n v="0"/>
    <n v="2"/>
    <n v="2"/>
    <n v="1"/>
    <n v="1"/>
    <n v="0"/>
    <n v="1"/>
    <n v="0"/>
    <n v="7"/>
  </r>
  <r>
    <n v="6"/>
    <n v="101"/>
    <n v="1"/>
    <x v="1"/>
    <x v="1"/>
    <n v="1"/>
    <n v="1"/>
    <n v="1"/>
    <n v="1"/>
    <n v="2"/>
    <n v="2"/>
    <n v="1"/>
    <n v="2"/>
    <n v="8"/>
  </r>
  <r>
    <n v="7"/>
    <n v="101"/>
    <n v="2"/>
    <x v="0"/>
    <x v="0"/>
    <n v="1"/>
    <n v="3"/>
    <n v="0"/>
    <n v="0"/>
    <n v="2"/>
    <n v="0"/>
    <n v="0"/>
    <n v="0"/>
    <n v="7"/>
  </r>
  <r>
    <n v="8"/>
    <n v="101"/>
    <n v="1"/>
    <x v="1"/>
    <x v="3"/>
    <n v="1"/>
    <n v="2"/>
    <n v="1"/>
    <n v="0"/>
    <n v="2"/>
    <n v="0"/>
    <n v="0"/>
    <n v="0"/>
    <n v="10"/>
  </r>
  <r>
    <n v="9"/>
    <n v="101"/>
    <n v="1"/>
    <x v="1"/>
    <x v="0"/>
    <n v="1"/>
    <n v="2"/>
    <n v="2"/>
    <n v="0"/>
    <n v="2"/>
    <n v="0"/>
    <n v="0"/>
    <n v="0"/>
    <n v="9"/>
  </r>
  <r>
    <n v="10"/>
    <n v="101"/>
    <n v="2"/>
    <x v="0"/>
    <x v="3"/>
    <n v="1"/>
    <n v="1"/>
    <n v="0"/>
    <n v="0"/>
    <n v="2"/>
    <n v="0"/>
    <n v="0"/>
    <n v="0"/>
    <n v="7"/>
  </r>
  <r>
    <n v="11"/>
    <n v="101"/>
    <n v="1"/>
    <x v="1"/>
    <x v="0"/>
    <n v="1"/>
    <n v="2"/>
    <n v="2"/>
    <n v="0"/>
    <n v="2"/>
    <n v="0"/>
    <n v="0"/>
    <n v="1"/>
    <n v="8"/>
  </r>
  <r>
    <n v="12"/>
    <n v="101"/>
    <n v="2"/>
    <x v="0"/>
    <x v="1"/>
    <n v="1"/>
    <n v="1"/>
    <n v="0"/>
    <n v="0"/>
    <n v="2"/>
    <n v="0"/>
    <n v="0"/>
    <n v="0"/>
    <n v="10"/>
  </r>
  <r>
    <n v="13"/>
    <n v="101"/>
    <n v="2"/>
    <x v="0"/>
    <x v="5"/>
    <n v="1"/>
    <n v="2"/>
    <n v="0"/>
    <n v="2"/>
    <n v="1"/>
    <n v="1"/>
    <n v="2"/>
    <n v="1"/>
    <n v="8"/>
  </r>
  <r>
    <n v="14"/>
    <n v="101"/>
    <n v="2"/>
    <x v="0"/>
    <x v="2"/>
    <n v="1"/>
    <n v="2"/>
    <n v="1"/>
    <n v="0"/>
    <n v="2"/>
    <n v="0"/>
    <n v="0"/>
    <n v="0"/>
    <n v="9"/>
  </r>
  <r>
    <n v="15"/>
    <n v="101"/>
    <n v="1"/>
    <x v="1"/>
    <x v="5"/>
    <n v="1"/>
    <n v="2"/>
    <n v="2"/>
    <n v="2"/>
    <n v="0"/>
    <n v="2"/>
    <n v="0"/>
    <n v="0"/>
    <n v="7"/>
  </r>
  <r>
    <n v="16"/>
    <n v="101"/>
    <n v="2"/>
    <x v="0"/>
    <x v="5"/>
    <n v="1"/>
    <n v="1"/>
    <n v="0"/>
    <n v="0"/>
    <n v="2"/>
    <n v="0"/>
    <n v="0"/>
    <n v="0"/>
    <n v="9"/>
  </r>
  <r>
    <n v="17"/>
    <n v="101"/>
    <n v="2"/>
    <x v="0"/>
    <x v="5"/>
    <n v="1"/>
    <n v="1"/>
    <n v="1"/>
    <n v="1"/>
    <n v="1"/>
    <n v="0"/>
    <n v="0"/>
    <n v="2"/>
    <n v="10"/>
  </r>
  <r>
    <n v="18"/>
    <n v="101"/>
    <n v="2"/>
    <x v="0"/>
    <x v="0"/>
    <n v="1"/>
    <n v="3"/>
    <n v="2"/>
    <n v="1"/>
    <n v="2"/>
    <n v="0"/>
    <n v="0"/>
    <n v="1"/>
    <n v="8"/>
  </r>
  <r>
    <n v="19"/>
    <n v="101"/>
    <n v="2"/>
    <x v="0"/>
    <x v="0"/>
    <n v="1"/>
    <n v="1"/>
    <n v="0"/>
    <n v="0"/>
    <n v="2"/>
    <n v="0"/>
    <n v="0"/>
    <n v="0"/>
    <n v="7"/>
  </r>
  <r>
    <n v="20"/>
    <n v="101"/>
    <n v="1"/>
    <x v="1"/>
    <x v="2"/>
    <n v="1"/>
    <n v="2"/>
    <n v="2"/>
    <n v="0"/>
    <n v="2"/>
    <n v="0"/>
    <n v="0"/>
    <n v="2"/>
    <n v="9"/>
  </r>
  <r>
    <n v="21"/>
    <n v="101"/>
    <n v="2"/>
    <x v="0"/>
    <x v="5"/>
    <n v="1"/>
    <n v="2"/>
    <n v="1"/>
    <n v="0"/>
    <n v="2"/>
    <n v="0"/>
    <n v="0"/>
    <n v="0"/>
    <n v="99"/>
  </r>
  <r>
    <n v="22"/>
    <n v="101"/>
    <n v="2"/>
    <x v="0"/>
    <x v="2"/>
    <n v="1"/>
    <n v="2"/>
    <n v="99"/>
    <n v="0"/>
    <n v="2"/>
    <n v="0"/>
    <n v="1"/>
    <n v="1"/>
    <n v="9"/>
  </r>
  <r>
    <n v="23"/>
    <n v="101"/>
    <n v="2"/>
    <x v="0"/>
    <x v="1"/>
    <n v="1"/>
    <n v="1"/>
    <n v="0"/>
    <n v="0"/>
    <n v="2"/>
    <n v="0"/>
    <n v="0"/>
    <n v="0"/>
    <n v="8"/>
  </r>
  <r>
    <n v="24"/>
    <n v="101"/>
    <n v="2"/>
    <x v="0"/>
    <x v="0"/>
    <n v="1"/>
    <n v="3"/>
    <n v="1"/>
    <n v="0"/>
    <n v="2"/>
    <n v="0"/>
    <n v="0"/>
    <n v="0"/>
    <n v="7"/>
  </r>
  <r>
    <n v="25"/>
    <n v="101"/>
    <n v="2"/>
    <x v="0"/>
    <x v="1"/>
    <n v="1"/>
    <n v="1"/>
    <n v="1"/>
    <n v="0"/>
    <n v="2"/>
    <n v="0"/>
    <n v="0"/>
    <n v="1"/>
    <n v="10"/>
  </r>
  <r>
    <n v="26"/>
    <n v="101"/>
    <n v="1"/>
    <x v="1"/>
    <x v="0"/>
    <n v="1"/>
    <n v="2"/>
    <n v="0"/>
    <n v="0"/>
    <n v="2"/>
    <n v="0"/>
    <n v="1"/>
    <n v="0"/>
    <n v="9"/>
  </r>
  <r>
    <n v="27"/>
    <n v="101"/>
    <n v="2"/>
    <x v="0"/>
    <x v="5"/>
    <n v="1"/>
    <n v="2"/>
    <n v="0"/>
    <n v="0"/>
    <n v="2"/>
    <n v="0"/>
    <n v="0"/>
    <n v="0"/>
    <n v="8"/>
  </r>
  <r>
    <n v="28"/>
    <n v="101"/>
    <n v="2"/>
    <x v="0"/>
    <x v="3"/>
    <n v="1"/>
    <n v="2"/>
    <n v="0"/>
    <n v="0"/>
    <n v="2"/>
    <n v="0"/>
    <n v="0"/>
    <n v="0"/>
    <n v="10"/>
  </r>
  <r>
    <n v="29"/>
    <n v="101"/>
    <n v="2"/>
    <x v="0"/>
    <x v="6"/>
    <n v="0"/>
    <n v="2"/>
    <n v="0"/>
    <n v="0"/>
    <n v="2"/>
    <n v="0"/>
    <n v="0"/>
    <n v="0"/>
    <n v="99"/>
  </r>
  <r>
    <n v="30"/>
    <n v="101"/>
    <n v="2"/>
    <x v="0"/>
    <x v="2"/>
    <n v="1"/>
    <n v="99"/>
    <n v="0"/>
    <n v="0"/>
    <n v="2"/>
    <n v="0"/>
    <n v="0"/>
    <n v="0"/>
    <n v="9"/>
  </r>
  <r>
    <n v="31"/>
    <n v="101"/>
    <n v="2"/>
    <x v="0"/>
    <x v="0"/>
    <n v="1"/>
    <n v="2"/>
    <n v="2"/>
    <n v="1"/>
    <n v="1"/>
    <n v="1"/>
    <n v="1"/>
    <n v="99"/>
    <n v="7"/>
  </r>
  <r>
    <n v="32"/>
    <n v="101"/>
    <n v="1"/>
    <x v="1"/>
    <x v="2"/>
    <n v="1"/>
    <n v="1"/>
    <n v="1"/>
    <n v="0"/>
    <n v="2"/>
    <n v="0"/>
    <n v="0"/>
    <n v="1"/>
    <n v="8"/>
  </r>
  <r>
    <n v="33"/>
    <n v="101"/>
    <n v="1"/>
    <x v="1"/>
    <x v="2"/>
    <n v="1"/>
    <n v="2"/>
    <n v="1"/>
    <n v="0"/>
    <n v="2"/>
    <n v="0"/>
    <n v="2"/>
    <n v="0"/>
    <n v="10"/>
  </r>
  <r>
    <n v="34"/>
    <n v="101"/>
    <n v="1"/>
    <x v="1"/>
    <x v="1"/>
    <n v="1"/>
    <n v="1"/>
    <n v="2"/>
    <n v="1"/>
    <n v="1"/>
    <n v="1"/>
    <n v="1"/>
    <n v="1"/>
    <n v="8"/>
  </r>
  <r>
    <n v="35"/>
    <n v="101"/>
    <n v="1"/>
    <x v="1"/>
    <x v="1"/>
    <n v="1"/>
    <n v="1"/>
    <n v="2"/>
    <n v="0"/>
    <n v="1"/>
    <n v="0"/>
    <n v="1"/>
    <n v="2"/>
    <n v="10"/>
  </r>
  <r>
    <n v="36"/>
    <n v="101"/>
    <n v="1"/>
    <x v="1"/>
    <x v="4"/>
    <n v="0"/>
    <n v="3"/>
    <n v="2"/>
    <n v="1"/>
    <n v="2"/>
    <n v="0"/>
    <n v="0"/>
    <n v="2"/>
    <n v="7"/>
  </r>
  <r>
    <n v="37"/>
    <n v="101"/>
    <n v="1"/>
    <x v="1"/>
    <x v="7"/>
    <n v="0"/>
    <n v="3"/>
    <n v="1"/>
    <n v="0"/>
    <n v="2"/>
    <n v="0"/>
    <n v="0"/>
    <n v="0"/>
    <n v="8"/>
  </r>
  <r>
    <n v="38"/>
    <n v="101"/>
    <n v="2"/>
    <x v="0"/>
    <x v="1"/>
    <n v="1"/>
    <n v="3"/>
    <n v="0"/>
    <n v="0"/>
    <n v="2"/>
    <n v="0"/>
    <n v="1"/>
    <n v="1"/>
    <n v="7"/>
  </r>
  <r>
    <n v="39"/>
    <n v="101"/>
    <n v="1"/>
    <x v="1"/>
    <x v="0"/>
    <n v="1"/>
    <n v="99"/>
    <n v="2"/>
    <n v="0"/>
    <n v="2"/>
    <n v="0"/>
    <n v="0"/>
    <n v="2"/>
    <n v="8"/>
  </r>
  <r>
    <n v="40"/>
    <n v="101"/>
    <n v="2"/>
    <x v="0"/>
    <x v="5"/>
    <n v="1"/>
    <n v="1"/>
    <n v="2"/>
    <n v="2"/>
    <n v="0"/>
    <n v="2"/>
    <n v="0"/>
    <n v="1"/>
    <n v="8"/>
  </r>
  <r>
    <n v="41"/>
    <n v="101"/>
    <n v="2"/>
    <x v="0"/>
    <x v="2"/>
    <n v="1"/>
    <n v="3"/>
    <n v="0"/>
    <n v="0"/>
    <n v="2"/>
    <n v="0"/>
    <n v="0"/>
    <n v="0"/>
    <n v="9"/>
  </r>
  <r>
    <n v="42"/>
    <n v="101"/>
    <n v="2"/>
    <x v="0"/>
    <x v="1"/>
    <n v="1"/>
    <n v="1"/>
    <n v="2"/>
    <n v="1"/>
    <n v="1"/>
    <n v="0"/>
    <n v="0"/>
    <n v="0"/>
    <n v="9"/>
  </r>
  <r>
    <n v="43"/>
    <n v="101"/>
    <n v="2"/>
    <x v="0"/>
    <x v="1"/>
    <n v="1"/>
    <n v="2"/>
    <n v="1"/>
    <n v="0"/>
    <n v="2"/>
    <n v="0"/>
    <n v="0"/>
    <n v="0"/>
    <n v="8"/>
  </r>
  <r>
    <n v="44"/>
    <n v="101"/>
    <n v="1"/>
    <x v="1"/>
    <x v="2"/>
    <n v="1"/>
    <n v="2"/>
    <n v="0"/>
    <n v="1"/>
    <n v="2"/>
    <n v="0"/>
    <n v="0"/>
    <n v="0"/>
    <n v="99"/>
  </r>
  <r>
    <n v="45"/>
    <n v="101"/>
    <n v="1"/>
    <x v="1"/>
    <x v="1"/>
    <n v="1"/>
    <n v="3"/>
    <n v="1"/>
    <n v="0"/>
    <n v="2"/>
    <n v="0"/>
    <n v="0"/>
    <n v="99"/>
    <n v="9"/>
  </r>
  <r>
    <n v="46"/>
    <n v="101"/>
    <n v="2"/>
    <x v="0"/>
    <x v="5"/>
    <n v="1"/>
    <n v="2"/>
    <n v="0"/>
    <n v="0"/>
    <n v="2"/>
    <n v="0"/>
    <n v="0"/>
    <n v="0"/>
    <n v="10"/>
  </r>
  <r>
    <n v="47"/>
    <n v="101"/>
    <n v="2"/>
    <x v="0"/>
    <x v="2"/>
    <n v="1"/>
    <n v="2"/>
    <n v="1"/>
    <n v="0"/>
    <n v="2"/>
    <n v="0"/>
    <n v="0"/>
    <n v="0"/>
    <n v="99"/>
  </r>
  <r>
    <n v="48"/>
    <n v="101"/>
    <n v="2"/>
    <x v="0"/>
    <x v="2"/>
    <n v="1"/>
    <n v="1"/>
    <n v="1"/>
    <n v="0"/>
    <n v="2"/>
    <n v="0"/>
    <n v="0"/>
    <n v="0"/>
    <n v="8"/>
  </r>
  <r>
    <n v="49"/>
    <n v="101"/>
    <n v="2"/>
    <x v="0"/>
    <x v="5"/>
    <n v="1"/>
    <n v="3"/>
    <n v="1"/>
    <n v="0"/>
    <n v="2"/>
    <n v="0"/>
    <n v="1"/>
    <n v="2"/>
    <n v="99"/>
  </r>
  <r>
    <n v="50"/>
    <n v="101"/>
    <n v="1"/>
    <x v="1"/>
    <x v="5"/>
    <n v="1"/>
    <n v="1"/>
    <n v="1"/>
    <n v="1"/>
    <n v="2"/>
    <n v="1"/>
    <n v="0"/>
    <n v="0"/>
    <n v="9"/>
  </r>
  <r>
    <n v="51"/>
    <n v="101"/>
    <n v="1"/>
    <x v="1"/>
    <x v="3"/>
    <n v="1"/>
    <n v="99"/>
    <n v="0"/>
    <n v="0"/>
    <n v="2"/>
    <n v="0"/>
    <n v="0"/>
    <n v="0"/>
    <n v="8"/>
  </r>
  <r>
    <n v="52"/>
    <n v="101"/>
    <n v="1"/>
    <x v="1"/>
    <x v="2"/>
    <n v="1"/>
    <n v="2"/>
    <n v="2"/>
    <n v="0"/>
    <n v="1"/>
    <n v="2"/>
    <n v="1"/>
    <n v="0"/>
    <n v="9"/>
  </r>
  <r>
    <n v="53"/>
    <n v="101"/>
    <n v="1"/>
    <x v="1"/>
    <x v="5"/>
    <n v="1"/>
    <n v="1"/>
    <n v="1"/>
    <n v="0"/>
    <n v="2"/>
    <n v="0"/>
    <n v="0"/>
    <n v="2"/>
    <n v="10"/>
  </r>
  <r>
    <n v="54"/>
    <n v="101"/>
    <n v="2"/>
    <x v="0"/>
    <x v="5"/>
    <n v="1"/>
    <n v="2"/>
    <n v="0"/>
    <n v="0"/>
    <n v="2"/>
    <n v="0"/>
    <n v="0"/>
    <n v="1"/>
    <n v="8"/>
  </r>
  <r>
    <n v="55"/>
    <n v="101"/>
    <n v="2"/>
    <x v="0"/>
    <x v="5"/>
    <n v="1"/>
    <n v="3"/>
    <n v="0"/>
    <n v="0"/>
    <n v="2"/>
    <n v="0"/>
    <n v="0"/>
    <n v="0"/>
    <n v="9"/>
  </r>
  <r>
    <n v="56"/>
    <n v="101"/>
    <n v="1"/>
    <x v="1"/>
    <x v="1"/>
    <n v="1"/>
    <n v="2"/>
    <n v="0"/>
    <n v="0"/>
    <n v="2"/>
    <n v="0"/>
    <n v="0"/>
    <n v="2"/>
    <n v="8"/>
  </r>
  <r>
    <n v="57"/>
    <n v="101"/>
    <n v="2"/>
    <x v="0"/>
    <x v="0"/>
    <n v="1"/>
    <n v="2"/>
    <n v="1"/>
    <n v="0"/>
    <n v="1"/>
    <n v="1"/>
    <n v="1"/>
    <n v="1"/>
    <n v="7"/>
  </r>
  <r>
    <n v="58"/>
    <n v="101"/>
    <n v="2"/>
    <x v="0"/>
    <x v="0"/>
    <n v="1"/>
    <n v="3"/>
    <n v="1"/>
    <n v="2"/>
    <n v="0"/>
    <n v="0"/>
    <n v="0"/>
    <n v="1"/>
    <n v="8"/>
  </r>
  <r>
    <n v="59"/>
    <n v="101"/>
    <n v="1"/>
    <x v="1"/>
    <x v="2"/>
    <n v="1"/>
    <n v="99"/>
    <n v="1"/>
    <n v="1"/>
    <n v="1"/>
    <n v="2"/>
    <n v="0"/>
    <n v="0"/>
    <n v="9"/>
  </r>
  <r>
    <n v="60"/>
    <n v="101"/>
    <n v="2"/>
    <x v="0"/>
    <x v="5"/>
    <n v="1"/>
    <n v="99"/>
    <n v="0"/>
    <n v="0"/>
    <n v="2"/>
    <n v="0"/>
    <n v="1"/>
    <n v="1"/>
    <n v="10"/>
  </r>
  <r>
    <n v="61"/>
    <n v="101"/>
    <n v="2"/>
    <x v="0"/>
    <x v="1"/>
    <n v="1"/>
    <n v="3"/>
    <n v="0"/>
    <n v="0"/>
    <n v="2"/>
    <n v="0"/>
    <n v="0"/>
    <n v="0"/>
    <n v="8"/>
  </r>
  <r>
    <n v="62"/>
    <n v="101"/>
    <n v="2"/>
    <x v="0"/>
    <x v="1"/>
    <n v="1"/>
    <n v="1"/>
    <n v="0"/>
    <n v="1"/>
    <n v="2"/>
    <n v="0"/>
    <n v="0"/>
    <n v="1"/>
    <n v="99"/>
  </r>
  <r>
    <n v="63"/>
    <n v="101"/>
    <n v="2"/>
    <x v="0"/>
    <x v="0"/>
    <n v="1"/>
    <n v="1"/>
    <n v="1"/>
    <n v="0"/>
    <n v="1"/>
    <n v="0"/>
    <n v="0"/>
    <n v="1"/>
    <n v="8"/>
  </r>
  <r>
    <n v="64"/>
    <n v="101"/>
    <n v="1"/>
    <x v="1"/>
    <x v="0"/>
    <n v="1"/>
    <n v="3"/>
    <n v="0"/>
    <n v="0"/>
    <n v="2"/>
    <n v="1"/>
    <n v="0"/>
    <n v="0"/>
    <n v="9"/>
  </r>
  <r>
    <n v="65"/>
    <n v="101"/>
    <n v="1"/>
    <x v="1"/>
    <x v="0"/>
    <n v="1"/>
    <n v="1"/>
    <n v="2"/>
    <n v="1"/>
    <n v="1"/>
    <n v="2"/>
    <n v="1"/>
    <n v="0"/>
    <n v="10"/>
  </r>
  <r>
    <n v="66"/>
    <n v="101"/>
    <n v="2"/>
    <x v="0"/>
    <x v="5"/>
    <n v="1"/>
    <n v="1"/>
    <n v="2"/>
    <n v="2"/>
    <n v="1"/>
    <n v="0"/>
    <n v="1"/>
    <n v="1"/>
    <n v="8"/>
  </r>
  <r>
    <n v="67"/>
    <n v="101"/>
    <n v="1"/>
    <x v="1"/>
    <x v="0"/>
    <n v="1"/>
    <n v="2"/>
    <n v="0"/>
    <n v="0"/>
    <n v="2"/>
    <n v="0"/>
    <n v="0"/>
    <n v="0"/>
    <n v="99"/>
  </r>
  <r>
    <n v="68"/>
    <n v="101"/>
    <n v="2"/>
    <x v="0"/>
    <x v="5"/>
    <n v="1"/>
    <n v="1"/>
    <n v="0"/>
    <n v="0"/>
    <n v="2"/>
    <n v="0"/>
    <n v="0"/>
    <n v="0"/>
    <n v="8"/>
  </r>
  <r>
    <n v="69"/>
    <n v="101"/>
    <n v="2"/>
    <x v="0"/>
    <x v="0"/>
    <n v="1"/>
    <n v="2"/>
    <n v="0"/>
    <n v="0"/>
    <n v="2"/>
    <n v="0"/>
    <n v="0"/>
    <n v="0"/>
    <n v="9"/>
  </r>
  <r>
    <n v="70"/>
    <n v="101"/>
    <n v="1"/>
    <x v="1"/>
    <x v="5"/>
    <n v="1"/>
    <n v="2"/>
    <n v="1"/>
    <n v="0"/>
    <n v="2"/>
    <n v="0"/>
    <n v="0"/>
    <n v="0"/>
    <n v="10"/>
  </r>
  <r>
    <n v="71"/>
    <n v="101"/>
    <n v="1"/>
    <x v="1"/>
    <x v="0"/>
    <n v="1"/>
    <n v="1"/>
    <n v="2"/>
    <n v="1"/>
    <n v="1"/>
    <n v="1"/>
    <n v="0"/>
    <n v="0"/>
    <n v="8"/>
  </r>
  <r>
    <n v="72"/>
    <n v="101"/>
    <n v="1"/>
    <x v="1"/>
    <x v="3"/>
    <n v="1"/>
    <n v="99"/>
    <n v="0"/>
    <n v="0"/>
    <n v="0"/>
    <n v="0"/>
    <n v="0"/>
    <n v="0"/>
    <n v="8"/>
  </r>
  <r>
    <n v="73"/>
    <n v="101"/>
    <n v="2"/>
    <x v="0"/>
    <x v="4"/>
    <n v="0"/>
    <n v="99"/>
    <n v="2"/>
    <n v="1"/>
    <n v="1"/>
    <n v="1"/>
    <n v="0"/>
    <n v="0"/>
    <n v="9"/>
  </r>
  <r>
    <n v="74"/>
    <n v="101"/>
    <n v="1"/>
    <x v="1"/>
    <x v="0"/>
    <n v="1"/>
    <n v="2"/>
    <n v="2"/>
    <n v="0"/>
    <n v="1"/>
    <n v="1"/>
    <n v="0"/>
    <n v="0"/>
    <n v="10"/>
  </r>
  <r>
    <n v="75"/>
    <n v="101"/>
    <n v="2"/>
    <x v="0"/>
    <x v="0"/>
    <n v="1"/>
    <n v="1"/>
    <n v="1"/>
    <n v="0"/>
    <n v="2"/>
    <n v="0"/>
    <n v="0"/>
    <n v="0"/>
    <n v="7"/>
  </r>
  <r>
    <n v="76"/>
    <n v="101"/>
    <n v="1"/>
    <x v="1"/>
    <x v="2"/>
    <n v="1"/>
    <n v="2"/>
    <n v="0"/>
    <n v="1"/>
    <n v="0"/>
    <n v="1"/>
    <n v="0"/>
    <n v="1"/>
    <n v="10"/>
  </r>
  <r>
    <n v="77"/>
    <n v="101"/>
    <n v="1"/>
    <x v="1"/>
    <x v="5"/>
    <n v="1"/>
    <n v="2"/>
    <n v="2"/>
    <n v="0"/>
    <n v="1"/>
    <n v="0"/>
    <n v="0"/>
    <n v="99"/>
    <n v="8"/>
  </r>
  <r>
    <n v="78"/>
    <n v="101"/>
    <n v="2"/>
    <x v="0"/>
    <x v="5"/>
    <n v="1"/>
    <n v="1"/>
    <n v="0"/>
    <n v="0"/>
    <n v="2"/>
    <n v="0"/>
    <n v="0"/>
    <n v="1"/>
    <n v="8"/>
  </r>
  <r>
    <n v="79"/>
    <n v="101"/>
    <n v="1"/>
    <x v="1"/>
    <x v="1"/>
    <n v="1"/>
    <n v="2"/>
    <n v="2"/>
    <n v="1"/>
    <n v="1"/>
    <n v="1"/>
    <n v="0"/>
    <n v="0"/>
    <n v="8"/>
  </r>
  <r>
    <n v="80"/>
    <n v="101"/>
    <n v="1"/>
    <x v="1"/>
    <x v="0"/>
    <n v="1"/>
    <n v="3"/>
    <n v="0"/>
    <n v="0"/>
    <n v="2"/>
    <n v="0"/>
    <n v="0"/>
    <n v="0"/>
    <n v="9"/>
  </r>
  <r>
    <n v="81"/>
    <n v="101"/>
    <n v="2"/>
    <x v="0"/>
    <x v="6"/>
    <n v="0"/>
    <n v="1"/>
    <n v="2"/>
    <n v="0"/>
    <n v="2"/>
    <n v="0"/>
    <n v="0"/>
    <n v="0"/>
    <n v="9"/>
  </r>
  <r>
    <n v="82"/>
    <n v="101"/>
    <n v="1"/>
    <x v="1"/>
    <x v="5"/>
    <n v="1"/>
    <n v="1"/>
    <n v="2"/>
    <n v="2"/>
    <n v="0"/>
    <n v="2"/>
    <n v="1"/>
    <n v="1"/>
    <n v="8"/>
  </r>
  <r>
    <n v="83"/>
    <n v="101"/>
    <n v="2"/>
    <x v="0"/>
    <x v="2"/>
    <n v="1"/>
    <n v="1"/>
    <n v="0"/>
    <n v="0"/>
    <n v="0"/>
    <n v="0"/>
    <n v="0"/>
    <n v="0"/>
    <n v="9"/>
  </r>
  <r>
    <n v="84"/>
    <n v="101"/>
    <n v="1"/>
    <x v="1"/>
    <x v="3"/>
    <n v="1"/>
    <n v="3"/>
    <n v="2"/>
    <n v="0"/>
    <n v="1"/>
    <n v="1"/>
    <n v="2"/>
    <n v="0"/>
    <n v="8"/>
  </r>
  <r>
    <n v="85"/>
    <n v="101"/>
    <n v="1"/>
    <x v="1"/>
    <x v="5"/>
    <n v="1"/>
    <n v="1"/>
    <n v="0"/>
    <n v="0"/>
    <n v="2"/>
    <n v="0"/>
    <n v="1"/>
    <n v="99"/>
    <n v="8"/>
  </r>
  <r>
    <n v="86"/>
    <n v="101"/>
    <n v="1"/>
    <x v="1"/>
    <x v="5"/>
    <n v="1"/>
    <n v="1"/>
    <n v="0"/>
    <n v="0"/>
    <n v="2"/>
    <n v="0"/>
    <n v="0"/>
    <n v="0"/>
    <n v="9"/>
  </r>
  <r>
    <n v="87"/>
    <n v="101"/>
    <n v="1"/>
    <x v="1"/>
    <x v="1"/>
    <n v="1"/>
    <n v="2"/>
    <n v="1"/>
    <n v="0"/>
    <n v="2"/>
    <n v="0"/>
    <n v="0"/>
    <n v="0"/>
    <n v="8"/>
  </r>
  <r>
    <n v="88"/>
    <n v="101"/>
    <n v="1"/>
    <x v="1"/>
    <x v="0"/>
    <n v="1"/>
    <n v="2"/>
    <n v="0"/>
    <n v="0"/>
    <n v="2"/>
    <n v="0"/>
    <n v="0"/>
    <n v="0"/>
    <n v="8"/>
  </r>
  <r>
    <n v="89"/>
    <n v="101"/>
    <n v="2"/>
    <x v="0"/>
    <x v="0"/>
    <n v="1"/>
    <n v="3"/>
    <n v="0"/>
    <n v="0"/>
    <n v="2"/>
    <n v="0"/>
    <n v="0"/>
    <n v="2"/>
    <n v="99"/>
  </r>
  <r>
    <n v="90"/>
    <n v="101"/>
    <n v="1"/>
    <x v="1"/>
    <x v="2"/>
    <n v="1"/>
    <n v="2"/>
    <n v="0"/>
    <n v="0"/>
    <n v="2"/>
    <n v="0"/>
    <n v="0"/>
    <n v="0"/>
    <n v="9"/>
  </r>
  <r>
    <n v="91"/>
    <n v="101"/>
    <n v="2"/>
    <x v="0"/>
    <x v="5"/>
    <n v="1"/>
    <n v="2"/>
    <n v="0"/>
    <n v="0"/>
    <n v="2"/>
    <n v="0"/>
    <n v="0"/>
    <n v="1"/>
    <n v="9"/>
  </r>
  <r>
    <n v="92"/>
    <n v="101"/>
    <n v="2"/>
    <x v="0"/>
    <x v="0"/>
    <n v="1"/>
    <n v="2"/>
    <n v="0"/>
    <n v="0"/>
    <n v="2"/>
    <n v="0"/>
    <n v="0"/>
    <n v="0"/>
    <n v="10"/>
  </r>
  <r>
    <n v="93"/>
    <n v="101"/>
    <n v="1"/>
    <x v="1"/>
    <x v="2"/>
    <n v="1"/>
    <n v="3"/>
    <n v="1"/>
    <n v="0"/>
    <n v="2"/>
    <n v="0"/>
    <n v="0"/>
    <n v="1"/>
    <n v="7"/>
  </r>
  <r>
    <n v="94"/>
    <n v="101"/>
    <n v="1"/>
    <x v="1"/>
    <x v="5"/>
    <n v="1"/>
    <n v="99"/>
    <n v="0"/>
    <n v="0"/>
    <n v="2"/>
    <n v="0"/>
    <n v="0"/>
    <n v="0"/>
    <n v="7"/>
  </r>
  <r>
    <n v="95"/>
    <n v="101"/>
    <n v="2"/>
    <x v="0"/>
    <x v="2"/>
    <n v="1"/>
    <n v="2"/>
    <n v="0"/>
    <n v="0"/>
    <n v="2"/>
    <n v="0"/>
    <n v="0"/>
    <n v="0"/>
    <n v="8"/>
  </r>
  <r>
    <n v="96"/>
    <n v="101"/>
    <n v="1"/>
    <x v="1"/>
    <x v="2"/>
    <n v="1"/>
    <n v="3"/>
    <n v="0"/>
    <n v="0"/>
    <n v="2"/>
    <n v="0"/>
    <n v="0"/>
    <n v="0"/>
    <n v="99"/>
  </r>
  <r>
    <n v="97"/>
    <n v="101"/>
    <n v="2"/>
    <x v="0"/>
    <x v="2"/>
    <n v="1"/>
    <n v="1"/>
    <n v="0"/>
    <n v="0"/>
    <n v="2"/>
    <n v="0"/>
    <n v="0"/>
    <n v="2"/>
    <n v="10"/>
  </r>
  <r>
    <n v="98"/>
    <n v="101"/>
    <n v="2"/>
    <x v="0"/>
    <x v="2"/>
    <n v="1"/>
    <n v="1"/>
    <n v="0"/>
    <n v="0"/>
    <n v="2"/>
    <n v="0"/>
    <n v="1"/>
    <n v="1"/>
    <n v="8"/>
  </r>
  <r>
    <n v="99"/>
    <n v="101"/>
    <n v="2"/>
    <x v="0"/>
    <x v="2"/>
    <n v="1"/>
    <n v="3"/>
    <n v="0"/>
    <n v="0"/>
    <n v="2"/>
    <n v="1"/>
    <n v="0"/>
    <n v="1"/>
    <n v="8"/>
  </r>
  <r>
    <n v="100"/>
    <n v="101"/>
    <n v="1"/>
    <x v="1"/>
    <x v="2"/>
    <n v="1"/>
    <n v="2"/>
    <n v="0"/>
    <n v="0"/>
    <n v="2"/>
    <n v="0"/>
    <n v="0"/>
    <n v="0"/>
    <n v="9"/>
  </r>
  <r>
    <n v="101"/>
    <n v="101"/>
    <n v="1"/>
    <x v="1"/>
    <x v="1"/>
    <n v="1"/>
    <n v="3"/>
    <n v="2"/>
    <n v="0"/>
    <n v="1"/>
    <n v="0"/>
    <n v="0"/>
    <n v="0"/>
    <n v="9"/>
  </r>
  <r>
    <n v="102"/>
    <n v="101"/>
    <n v="1"/>
    <x v="1"/>
    <x v="1"/>
    <n v="1"/>
    <n v="1"/>
    <n v="2"/>
    <n v="0"/>
    <n v="1"/>
    <n v="1"/>
    <n v="0"/>
    <n v="0"/>
    <n v="9"/>
  </r>
  <r>
    <n v="103"/>
    <n v="101"/>
    <n v="2"/>
    <x v="0"/>
    <x v="1"/>
    <n v="1"/>
    <n v="1"/>
    <n v="1"/>
    <n v="0"/>
    <n v="2"/>
    <n v="0"/>
    <n v="0"/>
    <n v="1"/>
    <n v="9"/>
  </r>
  <r>
    <n v="104"/>
    <n v="101"/>
    <n v="1"/>
    <x v="1"/>
    <x v="1"/>
    <n v="1"/>
    <n v="2"/>
    <n v="2"/>
    <n v="0"/>
    <n v="1"/>
    <n v="2"/>
    <n v="0"/>
    <n v="0"/>
    <n v="10"/>
  </r>
  <r>
    <n v="105"/>
    <n v="101"/>
    <n v="2"/>
    <x v="0"/>
    <x v="2"/>
    <n v="1"/>
    <n v="2"/>
    <n v="0"/>
    <n v="0"/>
    <n v="2"/>
    <n v="0"/>
    <n v="1"/>
    <n v="1"/>
    <n v="9"/>
  </r>
  <r>
    <n v="106"/>
    <n v="101"/>
    <n v="1"/>
    <x v="1"/>
    <x v="5"/>
    <n v="1"/>
    <n v="1"/>
    <n v="0"/>
    <n v="0"/>
    <n v="2"/>
    <n v="0"/>
    <n v="0"/>
    <n v="99"/>
    <n v="8"/>
  </r>
  <r>
    <n v="107"/>
    <n v="101"/>
    <n v="2"/>
    <x v="0"/>
    <x v="5"/>
    <n v="1"/>
    <n v="2"/>
    <n v="0"/>
    <n v="0"/>
    <n v="2"/>
    <n v="0"/>
    <n v="0"/>
    <n v="2"/>
    <n v="10"/>
  </r>
  <r>
    <n v="108"/>
    <n v="101"/>
    <n v="2"/>
    <x v="0"/>
    <x v="7"/>
    <n v="1"/>
    <n v="99"/>
    <n v="2"/>
    <n v="0"/>
    <n v="1"/>
    <n v="0"/>
    <n v="1"/>
    <n v="1"/>
    <n v="10"/>
  </r>
  <r>
    <n v="109"/>
    <n v="101"/>
    <n v="2"/>
    <x v="0"/>
    <x v="1"/>
    <n v="1"/>
    <n v="1"/>
    <n v="2"/>
    <n v="2"/>
    <n v="2"/>
    <n v="2"/>
    <n v="2"/>
    <n v="2"/>
    <n v="9"/>
  </r>
  <r>
    <n v="110"/>
    <n v="101"/>
    <n v="1"/>
    <x v="1"/>
    <x v="0"/>
    <n v="1"/>
    <n v="2"/>
    <n v="2"/>
    <n v="0"/>
    <n v="2"/>
    <n v="0"/>
    <n v="0"/>
    <n v="0"/>
    <n v="9"/>
  </r>
  <r>
    <n v="111"/>
    <n v="101"/>
    <n v="2"/>
    <x v="0"/>
    <x v="0"/>
    <n v="1"/>
    <n v="3"/>
    <n v="0"/>
    <n v="0"/>
    <n v="2"/>
    <n v="0"/>
    <n v="0"/>
    <n v="0"/>
    <n v="7"/>
  </r>
  <r>
    <n v="112"/>
    <n v="101"/>
    <n v="2"/>
    <x v="0"/>
    <x v="1"/>
    <n v="1"/>
    <n v="1"/>
    <n v="1"/>
    <n v="1"/>
    <n v="2"/>
    <n v="0"/>
    <n v="1"/>
    <n v="1"/>
    <n v="8"/>
  </r>
  <r>
    <n v="113"/>
    <n v="101"/>
    <n v="1"/>
    <x v="1"/>
    <x v="1"/>
    <n v="1"/>
    <n v="99"/>
    <n v="99"/>
    <n v="99"/>
    <n v="99"/>
    <n v="99"/>
    <n v="99"/>
    <n v="99"/>
    <n v="8"/>
  </r>
  <r>
    <n v="114"/>
    <n v="101"/>
    <n v="2"/>
    <x v="0"/>
    <x v="0"/>
    <n v="1"/>
    <n v="2"/>
    <n v="0"/>
    <n v="0"/>
    <n v="2"/>
    <n v="0"/>
    <n v="0"/>
    <n v="1"/>
    <n v="99"/>
  </r>
  <r>
    <n v="115"/>
    <n v="101"/>
    <n v="2"/>
    <x v="0"/>
    <x v="0"/>
    <n v="1"/>
    <n v="2"/>
    <n v="0"/>
    <n v="0"/>
    <n v="2"/>
    <n v="0"/>
    <n v="0"/>
    <n v="0"/>
    <n v="9"/>
  </r>
  <r>
    <n v="116"/>
    <n v="101"/>
    <n v="2"/>
    <x v="0"/>
    <x v="1"/>
    <n v="1"/>
    <n v="1"/>
    <n v="2"/>
    <n v="2"/>
    <n v="0"/>
    <n v="0"/>
    <n v="0"/>
    <n v="1"/>
    <n v="9"/>
  </r>
  <r>
    <n v="117"/>
    <n v="101"/>
    <n v="1"/>
    <x v="1"/>
    <x v="2"/>
    <n v="1"/>
    <n v="2"/>
    <n v="0"/>
    <n v="0"/>
    <n v="0"/>
    <n v="0"/>
    <n v="1"/>
    <n v="0"/>
    <n v="7"/>
  </r>
  <r>
    <n v="118"/>
    <n v="101"/>
    <n v="2"/>
    <x v="0"/>
    <x v="2"/>
    <n v="1"/>
    <n v="3"/>
    <n v="0"/>
    <n v="1"/>
    <n v="2"/>
    <n v="0"/>
    <n v="1"/>
    <n v="0"/>
    <n v="9"/>
  </r>
  <r>
    <n v="119"/>
    <n v="101"/>
    <n v="2"/>
    <x v="0"/>
    <x v="2"/>
    <n v="1"/>
    <n v="3"/>
    <n v="0"/>
    <n v="0"/>
    <n v="2"/>
    <n v="0"/>
    <n v="0"/>
    <n v="0"/>
    <n v="8"/>
  </r>
  <r>
    <n v="120"/>
    <n v="101"/>
    <n v="2"/>
    <x v="0"/>
    <x v="0"/>
    <n v="1"/>
    <n v="2"/>
    <n v="0"/>
    <n v="0"/>
    <n v="2"/>
    <n v="0"/>
    <n v="1"/>
    <n v="0"/>
    <n v="8"/>
  </r>
  <r>
    <n v="121"/>
    <n v="101"/>
    <n v="2"/>
    <x v="0"/>
    <x v="0"/>
    <n v="1"/>
    <n v="3"/>
    <n v="0"/>
    <n v="0"/>
    <n v="2"/>
    <n v="0"/>
    <n v="0"/>
    <n v="0"/>
    <n v="8"/>
  </r>
  <r>
    <n v="122"/>
    <n v="101"/>
    <n v="2"/>
    <x v="0"/>
    <x v="5"/>
    <n v="1"/>
    <n v="2"/>
    <n v="1"/>
    <n v="0"/>
    <n v="2"/>
    <n v="0"/>
    <n v="0"/>
    <n v="1"/>
    <n v="9"/>
  </r>
  <r>
    <n v="123"/>
    <n v="101"/>
    <n v="2"/>
    <x v="0"/>
    <x v="0"/>
    <n v="1"/>
    <n v="1"/>
    <n v="1"/>
    <n v="0"/>
    <n v="2"/>
    <n v="0"/>
    <n v="0"/>
    <n v="0"/>
    <n v="8"/>
  </r>
  <r>
    <n v="124"/>
    <n v="101"/>
    <n v="2"/>
    <x v="0"/>
    <x v="0"/>
    <n v="1"/>
    <n v="3"/>
    <n v="0"/>
    <n v="0"/>
    <n v="1"/>
    <n v="0"/>
    <n v="0"/>
    <n v="0"/>
    <n v="9"/>
  </r>
  <r>
    <n v="125"/>
    <n v="101"/>
    <n v="1"/>
    <x v="1"/>
    <x v="5"/>
    <n v="1"/>
    <n v="3"/>
    <n v="0"/>
    <n v="0"/>
    <n v="0"/>
    <n v="0"/>
    <n v="0"/>
    <n v="0"/>
    <n v="8"/>
  </r>
  <r>
    <n v="126"/>
    <n v="101"/>
    <n v="2"/>
    <x v="0"/>
    <x v="1"/>
    <n v="1"/>
    <n v="2"/>
    <n v="0"/>
    <n v="0"/>
    <n v="2"/>
    <n v="0"/>
    <n v="1"/>
    <n v="1"/>
    <n v="10"/>
  </r>
  <r>
    <n v="127"/>
    <n v="101"/>
    <n v="2"/>
    <x v="0"/>
    <x v="5"/>
    <n v="1"/>
    <n v="3"/>
    <n v="0"/>
    <n v="0"/>
    <n v="2"/>
    <n v="0"/>
    <n v="0"/>
    <n v="0"/>
    <n v="99"/>
  </r>
  <r>
    <n v="128"/>
    <n v="101"/>
    <n v="2"/>
    <x v="0"/>
    <x v="3"/>
    <n v="1"/>
    <n v="1"/>
    <n v="1"/>
    <n v="1"/>
    <n v="2"/>
    <n v="0"/>
    <n v="0"/>
    <n v="1"/>
    <n v="8"/>
  </r>
  <r>
    <n v="129"/>
    <n v="101"/>
    <n v="1"/>
    <x v="1"/>
    <x v="4"/>
    <n v="0"/>
    <n v="1"/>
    <n v="2"/>
    <n v="0"/>
    <n v="2"/>
    <n v="0"/>
    <n v="0"/>
    <n v="0"/>
    <n v="8"/>
  </r>
  <r>
    <n v="130"/>
    <n v="101"/>
    <n v="2"/>
    <x v="0"/>
    <x v="1"/>
    <n v="1"/>
    <n v="99"/>
    <n v="0"/>
    <n v="0"/>
    <n v="2"/>
    <n v="0"/>
    <n v="0"/>
    <n v="0"/>
    <n v="9"/>
  </r>
  <r>
    <n v="131"/>
    <n v="101"/>
    <n v="1"/>
    <x v="1"/>
    <x v="2"/>
    <n v="1"/>
    <n v="1"/>
    <n v="0"/>
    <n v="0"/>
    <n v="2"/>
    <n v="0"/>
    <n v="0"/>
    <n v="0"/>
    <n v="8"/>
  </r>
  <r>
    <n v="132"/>
    <n v="101"/>
    <n v="2"/>
    <x v="0"/>
    <x v="2"/>
    <n v="1"/>
    <n v="1"/>
    <n v="0"/>
    <n v="0"/>
    <n v="2"/>
    <n v="0"/>
    <n v="0"/>
    <n v="2"/>
    <n v="8"/>
  </r>
  <r>
    <n v="133"/>
    <n v="101"/>
    <n v="2"/>
    <x v="0"/>
    <x v="4"/>
    <n v="0"/>
    <n v="1"/>
    <n v="1"/>
    <n v="0"/>
    <n v="2"/>
    <n v="0"/>
    <n v="0"/>
    <n v="0"/>
    <n v="9"/>
  </r>
  <r>
    <n v="134"/>
    <n v="101"/>
    <n v="2"/>
    <x v="0"/>
    <x v="5"/>
    <n v="1"/>
    <n v="2"/>
    <n v="1"/>
    <n v="1"/>
    <n v="2"/>
    <n v="0"/>
    <n v="0"/>
    <n v="0"/>
    <n v="99"/>
  </r>
  <r>
    <n v="135"/>
    <n v="101"/>
    <n v="1"/>
    <x v="1"/>
    <x v="2"/>
    <n v="1"/>
    <n v="3"/>
    <n v="0"/>
    <n v="0"/>
    <n v="1"/>
    <n v="0"/>
    <n v="0"/>
    <n v="0"/>
    <n v="8"/>
  </r>
  <r>
    <n v="136"/>
    <n v="101"/>
    <n v="1"/>
    <x v="1"/>
    <x v="0"/>
    <n v="1"/>
    <n v="1"/>
    <n v="1"/>
    <n v="1"/>
    <n v="1"/>
    <n v="2"/>
    <n v="0"/>
    <n v="0"/>
    <n v="8"/>
  </r>
  <r>
    <n v="137"/>
    <n v="101"/>
    <n v="1"/>
    <x v="1"/>
    <x v="0"/>
    <n v="1"/>
    <n v="2"/>
    <n v="0"/>
    <n v="0"/>
    <n v="2"/>
    <n v="0"/>
    <n v="1"/>
    <n v="1"/>
    <n v="8"/>
  </r>
  <r>
    <n v="138"/>
    <n v="101"/>
    <n v="2"/>
    <x v="0"/>
    <x v="2"/>
    <n v="1"/>
    <n v="3"/>
    <n v="0"/>
    <n v="0"/>
    <n v="2"/>
    <n v="0"/>
    <n v="0"/>
    <n v="0"/>
    <n v="8"/>
  </r>
  <r>
    <n v="139"/>
    <n v="101"/>
    <n v="2"/>
    <x v="0"/>
    <x v="3"/>
    <n v="1"/>
    <n v="1"/>
    <n v="0"/>
    <n v="0"/>
    <n v="2"/>
    <n v="0"/>
    <n v="0"/>
    <n v="2"/>
    <n v="7"/>
  </r>
  <r>
    <n v="140"/>
    <n v="101"/>
    <n v="2"/>
    <x v="0"/>
    <x v="2"/>
    <n v="1"/>
    <n v="1"/>
    <n v="2"/>
    <n v="0"/>
    <n v="2"/>
    <n v="0"/>
    <n v="2"/>
    <n v="2"/>
    <n v="8"/>
  </r>
  <r>
    <n v="141"/>
    <n v="101"/>
    <n v="2"/>
    <x v="0"/>
    <x v="2"/>
    <n v="1"/>
    <n v="1"/>
    <n v="0"/>
    <n v="0"/>
    <n v="2"/>
    <n v="0"/>
    <n v="0"/>
    <n v="0"/>
    <n v="9"/>
  </r>
  <r>
    <n v="142"/>
    <n v="101"/>
    <n v="1"/>
    <x v="1"/>
    <x v="5"/>
    <n v="1"/>
    <n v="2"/>
    <n v="0"/>
    <n v="0"/>
    <n v="2"/>
    <n v="0"/>
    <n v="0"/>
    <n v="0"/>
    <n v="8"/>
  </r>
  <r>
    <n v="143"/>
    <n v="101"/>
    <n v="1"/>
    <x v="1"/>
    <x v="0"/>
    <n v="1"/>
    <n v="1"/>
    <n v="1"/>
    <n v="0"/>
    <n v="2"/>
    <n v="0"/>
    <n v="0"/>
    <n v="0"/>
    <n v="9"/>
  </r>
  <r>
    <n v="144"/>
    <n v="101"/>
    <n v="2"/>
    <x v="0"/>
    <x v="0"/>
    <n v="1"/>
    <n v="3"/>
    <n v="0"/>
    <n v="1"/>
    <n v="2"/>
    <n v="0"/>
    <n v="0"/>
    <n v="1"/>
    <n v="10"/>
  </r>
  <r>
    <n v="145"/>
    <n v="101"/>
    <n v="1"/>
    <x v="1"/>
    <x v="0"/>
    <n v="1"/>
    <n v="3"/>
    <n v="0"/>
    <n v="0"/>
    <n v="2"/>
    <n v="0"/>
    <n v="0"/>
    <n v="1"/>
    <n v="10"/>
  </r>
  <r>
    <n v="146"/>
    <n v="101"/>
    <n v="2"/>
    <x v="0"/>
    <x v="5"/>
    <n v="1"/>
    <n v="2"/>
    <n v="0"/>
    <n v="0"/>
    <n v="2"/>
    <n v="0"/>
    <n v="0"/>
    <n v="0"/>
    <n v="99"/>
  </r>
  <r>
    <n v="147"/>
    <n v="101"/>
    <n v="1"/>
    <x v="1"/>
    <x v="5"/>
    <n v="1"/>
    <n v="1"/>
    <n v="0"/>
    <n v="2"/>
    <n v="1"/>
    <n v="1"/>
    <n v="1"/>
    <n v="0"/>
    <n v="8"/>
  </r>
  <r>
    <n v="148"/>
    <n v="101"/>
    <n v="2"/>
    <x v="0"/>
    <x v="4"/>
    <n v="0"/>
    <n v="2"/>
    <n v="0"/>
    <n v="0"/>
    <n v="2"/>
    <n v="0"/>
    <n v="0"/>
    <n v="0"/>
    <n v="9"/>
  </r>
  <r>
    <n v="149"/>
    <n v="101"/>
    <n v="1"/>
    <x v="1"/>
    <x v="0"/>
    <n v="1"/>
    <n v="2"/>
    <n v="2"/>
    <n v="1"/>
    <n v="1"/>
    <n v="1"/>
    <n v="1"/>
    <n v="1"/>
    <n v="8"/>
  </r>
  <r>
    <n v="150"/>
    <n v="101"/>
    <n v="2"/>
    <x v="0"/>
    <x v="5"/>
    <n v="1"/>
    <n v="1"/>
    <n v="0"/>
    <n v="0"/>
    <n v="1"/>
    <n v="0"/>
    <n v="0"/>
    <n v="0"/>
    <n v="9"/>
  </r>
  <r>
    <n v="151"/>
    <n v="101"/>
    <n v="2"/>
    <x v="0"/>
    <x v="1"/>
    <n v="1"/>
    <n v="1"/>
    <n v="0"/>
    <n v="0"/>
    <n v="2"/>
    <n v="0"/>
    <n v="0"/>
    <n v="0"/>
    <n v="7"/>
  </r>
  <r>
    <n v="152"/>
    <n v="101"/>
    <n v="1"/>
    <x v="1"/>
    <x v="0"/>
    <n v="1"/>
    <n v="1"/>
    <n v="1"/>
    <n v="0"/>
    <n v="2"/>
    <n v="0"/>
    <n v="0"/>
    <n v="0"/>
    <n v="8"/>
  </r>
  <r>
    <n v="153"/>
    <n v="101"/>
    <n v="2"/>
    <x v="0"/>
    <x v="5"/>
    <n v="1"/>
    <n v="1"/>
    <n v="0"/>
    <n v="2"/>
    <n v="2"/>
    <n v="1"/>
    <n v="1"/>
    <n v="1"/>
    <n v="8"/>
  </r>
  <r>
    <n v="154"/>
    <n v="101"/>
    <n v="2"/>
    <x v="0"/>
    <x v="1"/>
    <n v="1"/>
    <n v="2"/>
    <n v="0"/>
    <n v="0"/>
    <n v="2"/>
    <n v="0"/>
    <n v="0"/>
    <n v="1"/>
    <n v="10"/>
  </r>
  <r>
    <n v="155"/>
    <n v="101"/>
    <n v="1"/>
    <x v="1"/>
    <x v="3"/>
    <n v="1"/>
    <n v="2"/>
    <n v="0"/>
    <n v="0"/>
    <n v="2"/>
    <n v="0"/>
    <n v="0"/>
    <n v="99"/>
    <n v="10"/>
  </r>
  <r>
    <n v="156"/>
    <n v="101"/>
    <n v="1"/>
    <x v="1"/>
    <x v="1"/>
    <n v="1"/>
    <n v="99"/>
    <n v="1"/>
    <n v="0"/>
    <n v="2"/>
    <n v="0"/>
    <n v="0"/>
    <n v="0"/>
    <n v="8"/>
  </r>
  <r>
    <n v="157"/>
    <n v="101"/>
    <n v="1"/>
    <x v="1"/>
    <x v="0"/>
    <n v="1"/>
    <n v="2"/>
    <n v="0"/>
    <n v="0"/>
    <n v="2"/>
    <n v="0"/>
    <n v="0"/>
    <n v="1"/>
    <n v="12"/>
  </r>
  <r>
    <n v="158"/>
    <n v="101"/>
    <n v="1"/>
    <x v="1"/>
    <x v="2"/>
    <n v="1"/>
    <n v="99"/>
    <n v="0"/>
    <n v="0"/>
    <n v="2"/>
    <n v="0"/>
    <n v="0"/>
    <n v="0"/>
    <n v="8"/>
  </r>
  <r>
    <n v="159"/>
    <n v="101"/>
    <n v="1"/>
    <x v="1"/>
    <x v="5"/>
    <n v="1"/>
    <n v="3"/>
    <n v="0"/>
    <n v="0"/>
    <n v="2"/>
    <n v="0"/>
    <n v="0"/>
    <n v="1"/>
    <n v="8"/>
  </r>
  <r>
    <n v="160"/>
    <n v="101"/>
    <n v="1"/>
    <x v="1"/>
    <x v="5"/>
    <n v="1"/>
    <n v="2"/>
    <n v="1"/>
    <n v="1"/>
    <n v="1"/>
    <n v="1"/>
    <n v="0"/>
    <n v="1"/>
    <n v="8"/>
  </r>
  <r>
    <n v="161"/>
    <n v="101"/>
    <n v="1"/>
    <x v="1"/>
    <x v="1"/>
    <n v="1"/>
    <n v="2"/>
    <n v="1"/>
    <n v="0"/>
    <n v="2"/>
    <n v="0"/>
    <n v="0"/>
    <n v="1"/>
    <n v="8"/>
  </r>
  <r>
    <n v="162"/>
    <n v="101"/>
    <n v="2"/>
    <x v="0"/>
    <x v="1"/>
    <n v="1"/>
    <n v="1"/>
    <n v="2"/>
    <n v="0"/>
    <n v="2"/>
    <n v="0"/>
    <n v="0"/>
    <n v="1"/>
    <n v="7"/>
  </r>
  <r>
    <n v="163"/>
    <n v="101"/>
    <n v="1"/>
    <x v="1"/>
    <x v="2"/>
    <n v="1"/>
    <n v="1"/>
    <n v="1"/>
    <n v="0"/>
    <n v="2"/>
    <n v="0"/>
    <n v="0"/>
    <n v="0"/>
    <n v="8"/>
  </r>
  <r>
    <n v="164"/>
    <n v="101"/>
    <n v="2"/>
    <x v="0"/>
    <x v="5"/>
    <n v="1"/>
    <n v="1"/>
    <n v="1"/>
    <n v="0"/>
    <n v="2"/>
    <n v="0"/>
    <n v="0"/>
    <n v="2"/>
    <n v="8"/>
  </r>
  <r>
    <n v="165"/>
    <n v="101"/>
    <n v="1"/>
    <x v="1"/>
    <x v="5"/>
    <n v="1"/>
    <n v="3"/>
    <n v="1"/>
    <n v="0"/>
    <n v="2"/>
    <n v="0"/>
    <n v="0"/>
    <n v="0"/>
    <n v="7"/>
  </r>
  <r>
    <n v="166"/>
    <n v="101"/>
    <n v="1"/>
    <x v="1"/>
    <x v="2"/>
    <n v="1"/>
    <n v="3"/>
    <n v="0"/>
    <n v="0"/>
    <n v="2"/>
    <n v="0"/>
    <n v="1"/>
    <n v="2"/>
    <n v="8"/>
  </r>
  <r>
    <n v="167"/>
    <n v="101"/>
    <n v="1"/>
    <x v="1"/>
    <x v="2"/>
    <n v="1"/>
    <n v="3"/>
    <n v="1"/>
    <n v="1"/>
    <n v="2"/>
    <n v="0"/>
    <n v="0"/>
    <n v="0"/>
    <n v="8"/>
  </r>
  <r>
    <n v="168"/>
    <n v="101"/>
    <n v="1"/>
    <x v="1"/>
    <x v="7"/>
    <n v="1"/>
    <n v="2"/>
    <n v="2"/>
    <n v="0"/>
    <n v="2"/>
    <n v="1"/>
    <n v="0"/>
    <n v="0"/>
    <n v="10"/>
  </r>
  <r>
    <n v="169"/>
    <n v="101"/>
    <n v="1"/>
    <x v="1"/>
    <x v="1"/>
    <n v="1"/>
    <n v="2"/>
    <n v="2"/>
    <n v="1"/>
    <n v="1"/>
    <n v="1"/>
    <n v="1"/>
    <n v="0"/>
    <n v="8"/>
  </r>
  <r>
    <n v="170"/>
    <n v="101"/>
    <n v="1"/>
    <x v="1"/>
    <x v="2"/>
    <n v="1"/>
    <n v="1"/>
    <n v="1"/>
    <n v="0"/>
    <n v="2"/>
    <n v="0"/>
    <n v="0"/>
    <n v="0"/>
    <n v="9"/>
  </r>
  <r>
    <n v="171"/>
    <n v="101"/>
    <n v="2"/>
    <x v="0"/>
    <x v="5"/>
    <n v="1"/>
    <n v="1"/>
    <n v="0"/>
    <n v="0"/>
    <n v="2"/>
    <n v="0"/>
    <n v="1"/>
    <n v="0"/>
    <n v="8"/>
  </r>
  <r>
    <n v="172"/>
    <n v="101"/>
    <n v="1"/>
    <x v="1"/>
    <x v="6"/>
    <n v="0"/>
    <n v="3"/>
    <n v="1"/>
    <n v="1"/>
    <n v="2"/>
    <n v="0"/>
    <n v="0"/>
    <n v="0"/>
    <n v="9"/>
  </r>
  <r>
    <n v="173"/>
    <n v="101"/>
    <n v="1"/>
    <x v="1"/>
    <x v="2"/>
    <n v="1"/>
    <n v="2"/>
    <n v="1"/>
    <n v="0"/>
    <n v="2"/>
    <n v="0"/>
    <n v="1"/>
    <n v="0"/>
    <n v="8"/>
  </r>
  <r>
    <n v="174"/>
    <n v="101"/>
    <n v="2"/>
    <x v="0"/>
    <x v="0"/>
    <n v="1"/>
    <n v="2"/>
    <n v="2"/>
    <n v="1"/>
    <n v="1"/>
    <n v="0"/>
    <n v="0"/>
    <n v="1"/>
    <n v="10"/>
  </r>
  <r>
    <n v="175"/>
    <n v="101"/>
    <n v="2"/>
    <x v="0"/>
    <x v="0"/>
    <n v="1"/>
    <n v="2"/>
    <n v="0"/>
    <n v="0"/>
    <n v="2"/>
    <n v="0"/>
    <n v="0"/>
    <n v="0"/>
    <n v="10"/>
  </r>
  <r>
    <n v="176"/>
    <n v="101"/>
    <n v="1"/>
    <x v="1"/>
    <x v="5"/>
    <n v="1"/>
    <n v="2"/>
    <n v="1"/>
    <n v="0"/>
    <n v="2"/>
    <n v="0"/>
    <n v="0"/>
    <n v="1"/>
    <n v="8"/>
  </r>
  <r>
    <n v="177"/>
    <n v="101"/>
    <n v="1"/>
    <x v="1"/>
    <x v="7"/>
    <n v="0"/>
    <n v="3"/>
    <n v="1"/>
    <n v="0"/>
    <n v="2"/>
    <n v="1"/>
    <n v="0"/>
    <n v="0"/>
    <n v="9"/>
  </r>
  <r>
    <n v="178"/>
    <n v="101"/>
    <n v="2"/>
    <x v="0"/>
    <x v="5"/>
    <n v="1"/>
    <n v="1"/>
    <n v="0"/>
    <n v="0"/>
    <n v="2"/>
    <n v="0"/>
    <n v="0"/>
    <n v="1"/>
    <n v="8"/>
  </r>
  <r>
    <n v="179"/>
    <n v="101"/>
    <n v="1"/>
    <x v="1"/>
    <x v="7"/>
    <n v="1"/>
    <n v="2"/>
    <n v="2"/>
    <n v="1"/>
    <n v="2"/>
    <n v="1"/>
    <n v="0"/>
    <n v="0"/>
    <n v="10"/>
  </r>
  <r>
    <n v="180"/>
    <n v="101"/>
    <n v="1"/>
    <x v="1"/>
    <x v="2"/>
    <n v="1"/>
    <n v="2"/>
    <n v="2"/>
    <n v="1"/>
    <n v="1"/>
    <n v="0"/>
    <n v="1"/>
    <n v="0"/>
    <n v="8"/>
  </r>
  <r>
    <n v="181"/>
    <n v="101"/>
    <n v="1"/>
    <x v="1"/>
    <x v="5"/>
    <n v="1"/>
    <n v="1"/>
    <n v="1"/>
    <n v="2"/>
    <n v="0"/>
    <n v="1"/>
    <n v="0"/>
    <n v="0"/>
    <n v="10"/>
  </r>
  <r>
    <n v="182"/>
    <n v="101"/>
    <n v="1"/>
    <x v="1"/>
    <x v="5"/>
    <n v="1"/>
    <n v="1"/>
    <n v="2"/>
    <n v="1"/>
    <n v="2"/>
    <n v="1"/>
    <n v="1"/>
    <n v="1"/>
    <n v="7"/>
  </r>
  <r>
    <n v="183"/>
    <n v="101"/>
    <n v="1"/>
    <x v="1"/>
    <x v="2"/>
    <n v="1"/>
    <n v="99"/>
    <n v="1"/>
    <n v="0"/>
    <n v="2"/>
    <n v="0"/>
    <n v="0"/>
    <n v="0"/>
    <n v="9"/>
  </r>
  <r>
    <n v="184"/>
    <n v="101"/>
    <n v="1"/>
    <x v="1"/>
    <x v="1"/>
    <n v="1"/>
    <n v="3"/>
    <n v="0"/>
    <n v="99"/>
    <n v="2"/>
    <n v="0"/>
    <n v="0"/>
    <n v="1"/>
    <n v="10"/>
  </r>
  <r>
    <n v="185"/>
    <n v="101"/>
    <n v="1"/>
    <x v="1"/>
    <x v="5"/>
    <n v="1"/>
    <n v="2"/>
    <n v="1"/>
    <n v="0"/>
    <n v="2"/>
    <n v="0"/>
    <n v="0"/>
    <n v="1"/>
    <n v="9"/>
  </r>
  <r>
    <n v="186"/>
    <n v="101"/>
    <n v="2"/>
    <x v="0"/>
    <x v="5"/>
    <n v="1"/>
    <n v="2"/>
    <n v="0"/>
    <n v="0"/>
    <n v="2"/>
    <n v="0"/>
    <n v="0"/>
    <n v="0"/>
    <n v="8"/>
  </r>
  <r>
    <n v="187"/>
    <n v="101"/>
    <n v="1"/>
    <x v="1"/>
    <x v="0"/>
    <n v="1"/>
    <n v="99"/>
    <n v="0"/>
    <n v="0"/>
    <n v="2"/>
    <n v="0"/>
    <n v="0"/>
    <n v="0"/>
    <n v="8"/>
  </r>
  <r>
    <n v="188"/>
    <n v="101"/>
    <n v="1"/>
    <x v="1"/>
    <x v="3"/>
    <n v="1"/>
    <n v="1"/>
    <n v="0"/>
    <n v="0"/>
    <n v="2"/>
    <n v="0"/>
    <n v="0"/>
    <n v="0"/>
    <n v="7"/>
  </r>
  <r>
    <n v="189"/>
    <n v="101"/>
    <n v="1"/>
    <x v="1"/>
    <x v="2"/>
    <n v="1"/>
    <n v="3"/>
    <n v="2"/>
    <n v="0"/>
    <n v="1"/>
    <n v="1"/>
    <n v="0"/>
    <n v="2"/>
    <n v="7"/>
  </r>
  <r>
    <n v="190"/>
    <n v="101"/>
    <n v="1"/>
    <x v="1"/>
    <x v="2"/>
    <n v="1"/>
    <n v="3"/>
    <n v="0"/>
    <n v="0"/>
    <n v="2"/>
    <n v="0"/>
    <n v="0"/>
    <n v="99"/>
    <n v="9"/>
  </r>
  <r>
    <n v="191"/>
    <n v="101"/>
    <n v="2"/>
    <x v="0"/>
    <x v="0"/>
    <n v="1"/>
    <n v="99"/>
    <n v="2"/>
    <n v="2"/>
    <n v="2"/>
    <n v="0"/>
    <n v="1"/>
    <n v="0"/>
    <n v="8"/>
  </r>
  <r>
    <n v="192"/>
    <n v="101"/>
    <n v="1"/>
    <x v="1"/>
    <x v="5"/>
    <n v="1"/>
    <n v="1"/>
    <n v="1"/>
    <n v="0"/>
    <n v="2"/>
    <n v="0"/>
    <n v="0"/>
    <n v="0"/>
    <n v="8"/>
  </r>
  <r>
    <n v="193"/>
    <n v="101"/>
    <n v="1"/>
    <x v="1"/>
    <x v="5"/>
    <n v="1"/>
    <n v="2"/>
    <n v="0"/>
    <n v="0"/>
    <n v="2"/>
    <n v="0"/>
    <n v="0"/>
    <n v="0"/>
    <n v="9"/>
  </r>
  <r>
    <n v="194"/>
    <n v="101"/>
    <n v="1"/>
    <x v="1"/>
    <x v="2"/>
    <n v="1"/>
    <n v="2"/>
    <n v="0"/>
    <n v="0"/>
    <n v="2"/>
    <n v="0"/>
    <n v="0"/>
    <n v="0"/>
    <n v="12"/>
  </r>
  <r>
    <n v="195"/>
    <n v="101"/>
    <n v="1"/>
    <x v="1"/>
    <x v="2"/>
    <n v="1"/>
    <n v="2"/>
    <n v="1"/>
    <n v="1"/>
    <n v="2"/>
    <n v="0"/>
    <n v="0"/>
    <n v="2"/>
    <n v="8"/>
  </r>
  <r>
    <n v="196"/>
    <n v="101"/>
    <n v="1"/>
    <x v="1"/>
    <x v="1"/>
    <n v="1"/>
    <n v="3"/>
    <n v="2"/>
    <n v="0"/>
    <n v="0"/>
    <n v="2"/>
    <n v="1"/>
    <n v="0"/>
    <n v="9"/>
  </r>
  <r>
    <n v="197"/>
    <n v="101"/>
    <n v="1"/>
    <x v="1"/>
    <x v="5"/>
    <n v="1"/>
    <n v="1"/>
    <n v="0"/>
    <n v="0"/>
    <n v="2"/>
    <n v="0"/>
    <n v="0"/>
    <n v="1"/>
    <n v="8"/>
  </r>
  <r>
    <n v="198"/>
    <n v="101"/>
    <n v="1"/>
    <x v="1"/>
    <x v="6"/>
    <n v="0"/>
    <n v="3"/>
    <n v="0"/>
    <n v="0"/>
    <n v="2"/>
    <n v="0"/>
    <n v="0"/>
    <n v="0"/>
    <n v="9"/>
  </r>
  <r>
    <n v="199"/>
    <n v="101"/>
    <n v="1"/>
    <x v="1"/>
    <x v="2"/>
    <n v="1"/>
    <n v="1"/>
    <n v="2"/>
    <n v="2"/>
    <n v="1"/>
    <n v="2"/>
    <n v="2"/>
    <n v="0"/>
    <n v="9"/>
  </r>
  <r>
    <n v="200"/>
    <n v="101"/>
    <n v="1"/>
    <x v="1"/>
    <x v="5"/>
    <n v="1"/>
    <n v="3"/>
    <n v="2"/>
    <n v="1"/>
    <n v="1"/>
    <n v="1"/>
    <n v="1"/>
    <n v="1"/>
    <n v="10"/>
  </r>
  <r>
    <n v="201"/>
    <n v="101"/>
    <n v="2"/>
    <x v="0"/>
    <x v="0"/>
    <n v="1"/>
    <n v="2"/>
    <n v="2"/>
    <n v="1"/>
    <n v="1"/>
    <n v="1"/>
    <n v="2"/>
    <n v="99"/>
    <n v="10"/>
  </r>
  <r>
    <n v="202"/>
    <n v="101"/>
    <n v="1"/>
    <x v="1"/>
    <x v="1"/>
    <n v="1"/>
    <n v="3"/>
    <n v="2"/>
    <n v="1"/>
    <n v="0"/>
    <n v="1"/>
    <n v="1"/>
    <n v="0"/>
    <n v="8"/>
  </r>
  <r>
    <n v="203"/>
    <n v="101"/>
    <n v="1"/>
    <x v="1"/>
    <x v="0"/>
    <n v="1"/>
    <n v="2"/>
    <n v="0"/>
    <n v="0"/>
    <n v="2"/>
    <n v="0"/>
    <n v="0"/>
    <n v="0"/>
    <n v="8"/>
  </r>
  <r>
    <n v="204"/>
    <n v="101"/>
    <n v="2"/>
    <x v="0"/>
    <x v="0"/>
    <n v="1"/>
    <n v="2"/>
    <n v="0"/>
    <n v="0"/>
    <n v="2"/>
    <n v="0"/>
    <n v="0"/>
    <n v="1"/>
    <n v="8"/>
  </r>
  <r>
    <n v="205"/>
    <n v="101"/>
    <n v="1"/>
    <x v="1"/>
    <x v="1"/>
    <n v="1"/>
    <n v="2"/>
    <n v="1"/>
    <n v="2"/>
    <n v="1"/>
    <n v="1"/>
    <n v="2"/>
    <n v="2"/>
    <n v="12"/>
  </r>
  <r>
    <n v="206"/>
    <n v="101"/>
    <n v="1"/>
    <x v="1"/>
    <x v="2"/>
    <n v="1"/>
    <n v="3"/>
    <n v="0"/>
    <n v="0"/>
    <n v="2"/>
    <n v="0"/>
    <n v="0"/>
    <n v="0"/>
    <n v="10"/>
  </r>
  <r>
    <n v="207"/>
    <n v="101"/>
    <n v="2"/>
    <x v="0"/>
    <x v="2"/>
    <n v="1"/>
    <n v="2"/>
    <n v="0"/>
    <n v="0"/>
    <n v="2"/>
    <n v="0"/>
    <n v="0"/>
    <n v="0"/>
    <n v="9"/>
  </r>
  <r>
    <n v="208"/>
    <n v="101"/>
    <n v="1"/>
    <x v="1"/>
    <x v="5"/>
    <n v="1"/>
    <n v="99"/>
    <n v="1"/>
    <n v="0"/>
    <n v="2"/>
    <n v="0"/>
    <n v="0"/>
    <n v="0"/>
    <n v="10"/>
  </r>
  <r>
    <n v="209"/>
    <n v="101"/>
    <n v="2"/>
    <x v="0"/>
    <x v="2"/>
    <n v="1"/>
    <n v="1"/>
    <n v="0"/>
    <n v="0"/>
    <n v="2"/>
    <n v="0"/>
    <n v="0"/>
    <n v="0"/>
    <n v="9"/>
  </r>
  <r>
    <n v="210"/>
    <n v="101"/>
    <n v="2"/>
    <x v="0"/>
    <x v="0"/>
    <n v="1"/>
    <n v="2"/>
    <n v="2"/>
    <n v="1"/>
    <n v="1"/>
    <n v="0"/>
    <n v="0"/>
    <n v="1"/>
    <n v="8"/>
  </r>
  <r>
    <n v="211"/>
    <n v="101"/>
    <n v="1"/>
    <x v="1"/>
    <x v="2"/>
    <n v="1"/>
    <n v="2"/>
    <n v="1"/>
    <n v="1"/>
    <n v="1"/>
    <n v="0"/>
    <n v="2"/>
    <n v="1"/>
    <n v="8"/>
  </r>
  <r>
    <n v="212"/>
    <n v="101"/>
    <n v="2"/>
    <x v="0"/>
    <x v="1"/>
    <n v="1"/>
    <n v="1"/>
    <n v="1"/>
    <n v="1"/>
    <n v="2"/>
    <n v="0"/>
    <n v="0"/>
    <n v="1"/>
    <n v="8"/>
  </r>
  <r>
    <n v="213"/>
    <n v="101"/>
    <n v="1"/>
    <x v="1"/>
    <x v="1"/>
    <n v="1"/>
    <n v="2"/>
    <n v="1"/>
    <n v="0"/>
    <n v="2"/>
    <n v="1"/>
    <n v="0"/>
    <n v="0"/>
    <n v="10"/>
  </r>
  <r>
    <n v="214"/>
    <n v="101"/>
    <n v="1"/>
    <x v="1"/>
    <x v="1"/>
    <n v="1"/>
    <n v="3"/>
    <n v="0"/>
    <n v="0"/>
    <n v="2"/>
    <n v="0"/>
    <n v="0"/>
    <n v="0"/>
    <n v="8"/>
  </r>
  <r>
    <n v="215"/>
    <n v="101"/>
    <n v="1"/>
    <x v="1"/>
    <x v="5"/>
    <n v="1"/>
    <n v="1"/>
    <n v="0"/>
    <n v="0"/>
    <n v="1"/>
    <n v="0"/>
    <n v="0"/>
    <n v="0"/>
    <n v="10"/>
  </r>
  <r>
    <n v="216"/>
    <n v="101"/>
    <n v="2"/>
    <x v="0"/>
    <x v="4"/>
    <n v="0"/>
    <n v="2"/>
    <n v="1"/>
    <n v="0"/>
    <n v="2"/>
    <n v="0"/>
    <n v="0"/>
    <n v="0"/>
    <n v="9"/>
  </r>
  <r>
    <n v="217"/>
    <n v="101"/>
    <n v="2"/>
    <x v="0"/>
    <x v="0"/>
    <n v="1"/>
    <n v="1"/>
    <n v="0"/>
    <n v="0"/>
    <n v="1"/>
    <n v="0"/>
    <n v="0"/>
    <n v="1"/>
    <n v="7"/>
  </r>
  <r>
    <n v="218"/>
    <n v="101"/>
    <n v="1"/>
    <x v="1"/>
    <x v="5"/>
    <n v="1"/>
    <n v="2"/>
    <n v="1"/>
    <n v="1"/>
    <n v="2"/>
    <n v="0"/>
    <n v="0"/>
    <n v="2"/>
    <n v="8"/>
  </r>
  <r>
    <n v="219"/>
    <n v="101"/>
    <n v="1"/>
    <x v="1"/>
    <x v="5"/>
    <n v="1"/>
    <n v="1"/>
    <n v="2"/>
    <n v="1"/>
    <n v="1"/>
    <n v="1"/>
    <n v="0"/>
    <n v="0"/>
    <n v="9"/>
  </r>
  <r>
    <n v="220"/>
    <n v="101"/>
    <n v="1"/>
    <x v="1"/>
    <x v="1"/>
    <n v="1"/>
    <n v="2"/>
    <n v="0"/>
    <n v="0"/>
    <n v="2"/>
    <n v="0"/>
    <n v="0"/>
    <n v="0"/>
    <n v="10"/>
  </r>
  <r>
    <n v="221"/>
    <n v="101"/>
    <n v="1"/>
    <x v="1"/>
    <x v="0"/>
    <n v="1"/>
    <n v="3"/>
    <n v="0"/>
    <n v="0"/>
    <n v="2"/>
    <n v="0"/>
    <n v="0"/>
    <n v="0"/>
    <n v="9"/>
  </r>
  <r>
    <n v="222"/>
    <n v="101"/>
    <n v="2"/>
    <x v="0"/>
    <x v="1"/>
    <n v="1"/>
    <n v="2"/>
    <n v="0"/>
    <n v="0"/>
    <n v="2"/>
    <n v="0"/>
    <n v="0"/>
    <n v="0"/>
    <n v="99"/>
  </r>
  <r>
    <n v="223"/>
    <n v="101"/>
    <n v="1"/>
    <x v="1"/>
    <x v="3"/>
    <n v="1"/>
    <n v="99"/>
    <n v="1"/>
    <n v="0"/>
    <n v="2"/>
    <n v="0"/>
    <n v="0"/>
    <n v="2"/>
    <n v="8"/>
  </r>
  <r>
    <n v="224"/>
    <n v="101"/>
    <n v="2"/>
    <x v="0"/>
    <x v="2"/>
    <n v="1"/>
    <n v="1"/>
    <n v="0"/>
    <n v="0"/>
    <n v="1"/>
    <n v="0"/>
    <n v="1"/>
    <n v="0"/>
    <n v="7"/>
  </r>
  <r>
    <n v="225"/>
    <n v="101"/>
    <n v="1"/>
    <x v="1"/>
    <x v="0"/>
    <n v="1"/>
    <n v="2"/>
    <n v="1"/>
    <n v="0"/>
    <n v="2"/>
    <n v="0"/>
    <n v="1"/>
    <n v="1"/>
    <n v="10"/>
  </r>
  <r>
    <n v="226"/>
    <n v="101"/>
    <n v="1"/>
    <x v="1"/>
    <x v="5"/>
    <n v="1"/>
    <n v="2"/>
    <n v="2"/>
    <n v="1"/>
    <n v="1"/>
    <n v="1"/>
    <n v="1"/>
    <n v="1"/>
    <n v="9"/>
  </r>
  <r>
    <n v="227"/>
    <n v="101"/>
    <n v="2"/>
    <x v="0"/>
    <x v="5"/>
    <n v="1"/>
    <n v="2"/>
    <n v="0"/>
    <n v="0"/>
    <n v="2"/>
    <n v="0"/>
    <n v="1"/>
    <n v="1"/>
    <n v="9"/>
  </r>
  <r>
    <n v="228"/>
    <n v="101"/>
    <n v="2"/>
    <x v="0"/>
    <x v="5"/>
    <n v="1"/>
    <n v="1"/>
    <n v="1"/>
    <n v="1"/>
    <n v="2"/>
    <n v="1"/>
    <n v="1"/>
    <n v="1"/>
    <n v="9"/>
  </r>
  <r>
    <n v="229"/>
    <n v="101"/>
    <n v="1"/>
    <x v="1"/>
    <x v="1"/>
    <n v="1"/>
    <n v="2"/>
    <n v="1"/>
    <n v="0"/>
    <n v="1"/>
    <n v="0"/>
    <n v="1"/>
    <n v="1"/>
    <n v="8"/>
  </r>
  <r>
    <n v="230"/>
    <n v="101"/>
    <n v="2"/>
    <x v="0"/>
    <x v="2"/>
    <n v="1"/>
    <n v="3"/>
    <n v="2"/>
    <n v="0"/>
    <n v="2"/>
    <n v="0"/>
    <n v="0"/>
    <n v="0"/>
    <n v="10"/>
  </r>
  <r>
    <n v="231"/>
    <n v="101"/>
    <n v="1"/>
    <x v="1"/>
    <x v="5"/>
    <n v="1"/>
    <n v="3"/>
    <n v="2"/>
    <n v="1"/>
    <n v="1"/>
    <n v="0"/>
    <n v="1"/>
    <n v="0"/>
    <n v="9"/>
  </r>
  <r>
    <n v="232"/>
    <n v="101"/>
    <n v="1"/>
    <x v="1"/>
    <x v="0"/>
    <n v="1"/>
    <n v="1"/>
    <n v="0"/>
    <n v="0"/>
    <n v="2"/>
    <n v="0"/>
    <n v="0"/>
    <n v="1"/>
    <n v="8"/>
  </r>
  <r>
    <n v="233"/>
    <n v="101"/>
    <n v="1"/>
    <x v="1"/>
    <x v="5"/>
    <n v="1"/>
    <n v="99"/>
    <n v="0"/>
    <n v="0"/>
    <n v="2"/>
    <n v="0"/>
    <n v="0"/>
    <n v="1"/>
    <n v="10"/>
  </r>
  <r>
    <n v="234"/>
    <n v="101"/>
    <n v="2"/>
    <x v="0"/>
    <x v="0"/>
    <n v="1"/>
    <n v="1"/>
    <n v="0"/>
    <n v="0"/>
    <n v="2"/>
    <n v="0"/>
    <n v="0"/>
    <n v="0"/>
    <n v="8"/>
  </r>
  <r>
    <n v="235"/>
    <n v="101"/>
    <n v="1"/>
    <x v="1"/>
    <x v="5"/>
    <n v="1"/>
    <n v="3"/>
    <n v="0"/>
    <n v="0"/>
    <n v="2"/>
    <n v="0"/>
    <n v="0"/>
    <n v="1"/>
    <n v="8"/>
  </r>
  <r>
    <n v="236"/>
    <n v="101"/>
    <n v="1"/>
    <x v="1"/>
    <x v="7"/>
    <n v="1"/>
    <n v="1"/>
    <n v="2"/>
    <n v="1"/>
    <n v="1"/>
    <n v="0"/>
    <n v="0"/>
    <n v="2"/>
    <n v="9"/>
  </r>
  <r>
    <n v="237"/>
    <n v="101"/>
    <n v="1"/>
    <x v="1"/>
    <x v="2"/>
    <n v="1"/>
    <n v="3"/>
    <n v="2"/>
    <n v="0"/>
    <n v="2"/>
    <n v="0"/>
    <n v="0"/>
    <n v="0"/>
    <n v="7"/>
  </r>
  <r>
    <n v="238"/>
    <n v="101"/>
    <n v="1"/>
    <x v="1"/>
    <x v="2"/>
    <n v="1"/>
    <n v="2"/>
    <n v="2"/>
    <n v="1"/>
    <n v="2"/>
    <n v="0"/>
    <n v="0"/>
    <n v="0"/>
    <n v="8"/>
  </r>
  <r>
    <n v="239"/>
    <n v="101"/>
    <n v="1"/>
    <x v="1"/>
    <x v="0"/>
    <n v="1"/>
    <n v="2"/>
    <n v="2"/>
    <n v="1"/>
    <n v="2"/>
    <n v="0"/>
    <n v="1"/>
    <n v="1"/>
    <n v="9"/>
  </r>
  <r>
    <n v="240"/>
    <n v="101"/>
    <n v="1"/>
    <x v="1"/>
    <x v="1"/>
    <n v="1"/>
    <n v="2"/>
    <n v="0"/>
    <n v="0"/>
    <n v="2"/>
    <n v="0"/>
    <n v="0"/>
    <n v="0"/>
    <n v="10"/>
  </r>
  <r>
    <n v="241"/>
    <n v="101"/>
    <n v="1"/>
    <x v="1"/>
    <x v="5"/>
    <n v="1"/>
    <n v="1"/>
    <n v="0"/>
    <n v="0"/>
    <n v="2"/>
    <n v="0"/>
    <n v="0"/>
    <n v="2"/>
    <n v="9"/>
  </r>
  <r>
    <n v="242"/>
    <n v="101"/>
    <n v="1"/>
    <x v="1"/>
    <x v="0"/>
    <n v="1"/>
    <n v="2"/>
    <n v="1"/>
    <n v="0"/>
    <n v="2"/>
    <n v="0"/>
    <n v="0"/>
    <n v="0"/>
    <n v="9"/>
  </r>
  <r>
    <n v="243"/>
    <n v="101"/>
    <n v="2"/>
    <x v="0"/>
    <x v="6"/>
    <n v="0"/>
    <n v="2"/>
    <n v="0"/>
    <n v="1"/>
    <n v="2"/>
    <n v="0"/>
    <n v="1"/>
    <n v="0"/>
    <n v="8"/>
  </r>
  <r>
    <n v="244"/>
    <n v="101"/>
    <n v="2"/>
    <x v="0"/>
    <x v="0"/>
    <n v="1"/>
    <n v="2"/>
    <n v="1"/>
    <n v="0"/>
    <n v="2"/>
    <n v="0"/>
    <n v="1"/>
    <n v="1"/>
    <n v="7"/>
  </r>
  <r>
    <n v="245"/>
    <n v="101"/>
    <n v="1"/>
    <x v="1"/>
    <x v="2"/>
    <n v="1"/>
    <n v="2"/>
    <n v="2"/>
    <n v="2"/>
    <n v="1"/>
    <n v="1"/>
    <n v="2"/>
    <n v="2"/>
    <n v="9"/>
  </r>
  <r>
    <n v="246"/>
    <n v="101"/>
    <n v="2"/>
    <x v="0"/>
    <x v="0"/>
    <n v="1"/>
    <n v="3"/>
    <n v="0"/>
    <n v="0"/>
    <n v="2"/>
    <n v="0"/>
    <n v="1"/>
    <n v="1"/>
    <n v="8"/>
  </r>
  <r>
    <n v="247"/>
    <n v="101"/>
    <n v="2"/>
    <x v="0"/>
    <x v="0"/>
    <n v="1"/>
    <n v="2"/>
    <n v="2"/>
    <n v="1"/>
    <n v="1"/>
    <n v="0"/>
    <n v="0"/>
    <n v="1"/>
    <n v="10"/>
  </r>
  <r>
    <n v="248"/>
    <n v="101"/>
    <n v="1"/>
    <x v="1"/>
    <x v="1"/>
    <n v="1"/>
    <n v="1"/>
    <n v="0"/>
    <n v="0"/>
    <n v="2"/>
    <n v="0"/>
    <n v="0"/>
    <n v="0"/>
    <n v="9"/>
  </r>
  <r>
    <n v="249"/>
    <n v="101"/>
    <n v="1"/>
    <x v="1"/>
    <x v="2"/>
    <n v="1"/>
    <n v="1"/>
    <n v="2"/>
    <n v="2"/>
    <n v="1"/>
    <n v="1"/>
    <n v="0"/>
    <n v="1"/>
    <n v="9"/>
  </r>
  <r>
    <n v="250"/>
    <n v="101"/>
    <n v="1"/>
    <x v="1"/>
    <x v="2"/>
    <n v="1"/>
    <n v="1"/>
    <n v="2"/>
    <n v="0"/>
    <n v="2"/>
    <n v="0"/>
    <n v="0"/>
    <n v="1"/>
    <n v="7"/>
  </r>
  <r>
    <n v="251"/>
    <n v="101"/>
    <n v="2"/>
    <x v="0"/>
    <x v="5"/>
    <n v="1"/>
    <n v="1"/>
    <n v="0"/>
    <n v="0"/>
    <n v="2"/>
    <n v="0"/>
    <n v="0"/>
    <n v="0"/>
    <n v="8"/>
  </r>
  <r>
    <n v="252"/>
    <n v="101"/>
    <n v="2"/>
    <x v="0"/>
    <x v="1"/>
    <n v="1"/>
    <n v="2"/>
    <n v="1"/>
    <n v="1"/>
    <n v="1"/>
    <n v="0"/>
    <n v="1"/>
    <n v="1"/>
    <n v="8"/>
  </r>
  <r>
    <n v="253"/>
    <n v="101"/>
    <n v="1"/>
    <x v="1"/>
    <x v="0"/>
    <n v="1"/>
    <n v="2"/>
    <n v="2"/>
    <n v="0"/>
    <n v="2"/>
    <n v="0"/>
    <n v="2"/>
    <n v="2"/>
    <n v="10"/>
  </r>
  <r>
    <n v="254"/>
    <n v="101"/>
    <n v="1"/>
    <x v="1"/>
    <x v="2"/>
    <n v="1"/>
    <n v="99"/>
    <n v="0"/>
    <n v="0"/>
    <n v="2"/>
    <n v="0"/>
    <n v="0"/>
    <n v="0"/>
    <n v="12"/>
  </r>
  <r>
    <n v="255"/>
    <n v="101"/>
    <n v="1"/>
    <x v="1"/>
    <x v="2"/>
    <n v="1"/>
    <n v="2"/>
    <n v="0"/>
    <n v="0"/>
    <n v="2"/>
    <n v="0"/>
    <n v="0"/>
    <n v="0"/>
    <n v="8"/>
  </r>
  <r>
    <n v="256"/>
    <n v="101"/>
    <n v="2"/>
    <x v="0"/>
    <x v="1"/>
    <n v="1"/>
    <n v="1"/>
    <n v="0"/>
    <n v="0"/>
    <n v="2"/>
    <n v="0"/>
    <n v="1"/>
    <n v="1"/>
    <n v="8"/>
  </r>
  <r>
    <n v="257"/>
    <n v="101"/>
    <n v="2"/>
    <x v="0"/>
    <x v="5"/>
    <n v="1"/>
    <n v="3"/>
    <n v="2"/>
    <n v="1"/>
    <n v="1"/>
    <n v="2"/>
    <n v="1"/>
    <n v="1"/>
    <n v="9"/>
  </r>
  <r>
    <n v="258"/>
    <n v="101"/>
    <n v="1"/>
    <x v="1"/>
    <x v="1"/>
    <n v="1"/>
    <n v="1"/>
    <n v="1"/>
    <n v="0"/>
    <n v="2"/>
    <n v="0"/>
    <n v="0"/>
    <n v="1"/>
    <n v="8"/>
  </r>
  <r>
    <n v="259"/>
    <n v="101"/>
    <n v="1"/>
    <x v="1"/>
    <x v="2"/>
    <n v="1"/>
    <n v="3"/>
    <n v="0"/>
    <n v="0"/>
    <n v="2"/>
    <n v="0"/>
    <n v="0"/>
    <n v="0"/>
    <n v="8"/>
  </r>
  <r>
    <n v="260"/>
    <n v="101"/>
    <n v="1"/>
    <x v="1"/>
    <x v="5"/>
    <n v="1"/>
    <n v="99"/>
    <n v="0"/>
    <n v="2"/>
    <n v="2"/>
    <n v="1"/>
    <n v="2"/>
    <n v="2"/>
    <n v="8"/>
  </r>
  <r>
    <n v="261"/>
    <n v="101"/>
    <n v="1"/>
    <x v="1"/>
    <x v="2"/>
    <n v="1"/>
    <n v="1"/>
    <n v="2"/>
    <n v="0"/>
    <n v="2"/>
    <n v="0"/>
    <n v="0"/>
    <n v="0"/>
    <n v="10"/>
  </r>
  <r>
    <n v="262"/>
    <n v="101"/>
    <n v="2"/>
    <x v="0"/>
    <x v="2"/>
    <n v="1"/>
    <n v="1"/>
    <n v="0"/>
    <n v="2"/>
    <n v="1"/>
    <n v="0"/>
    <n v="2"/>
    <n v="1"/>
    <n v="8"/>
  </r>
  <r>
    <n v="263"/>
    <n v="101"/>
    <n v="2"/>
    <x v="0"/>
    <x v="1"/>
    <n v="1"/>
    <n v="3"/>
    <n v="0"/>
    <n v="0"/>
    <n v="2"/>
    <n v="0"/>
    <n v="0"/>
    <n v="0"/>
    <n v="8"/>
  </r>
  <r>
    <n v="264"/>
    <n v="101"/>
    <n v="1"/>
    <x v="1"/>
    <x v="1"/>
    <n v="1"/>
    <n v="2"/>
    <n v="0"/>
    <n v="0"/>
    <n v="2"/>
    <n v="0"/>
    <n v="1"/>
    <n v="1"/>
    <n v="9"/>
  </r>
  <r>
    <n v="265"/>
    <n v="101"/>
    <n v="1"/>
    <x v="1"/>
    <x v="0"/>
    <n v="1"/>
    <n v="99"/>
    <n v="0"/>
    <n v="0"/>
    <n v="2"/>
    <n v="0"/>
    <n v="0"/>
    <n v="0"/>
    <n v="8"/>
  </r>
  <r>
    <n v="266"/>
    <n v="101"/>
    <n v="1"/>
    <x v="1"/>
    <x v="2"/>
    <n v="1"/>
    <n v="3"/>
    <n v="0"/>
    <n v="0"/>
    <n v="2"/>
    <n v="0"/>
    <n v="0"/>
    <n v="0"/>
    <n v="8"/>
  </r>
  <r>
    <n v="267"/>
    <n v="101"/>
    <n v="1"/>
    <x v="1"/>
    <x v="3"/>
    <n v="1"/>
    <n v="2"/>
    <n v="0"/>
    <n v="0"/>
    <n v="0"/>
    <n v="0"/>
    <n v="0"/>
    <n v="0"/>
    <n v="8"/>
  </r>
  <r>
    <n v="268"/>
    <n v="101"/>
    <n v="2"/>
    <x v="0"/>
    <x v="0"/>
    <n v="1"/>
    <n v="1"/>
    <n v="1"/>
    <n v="0"/>
    <n v="2"/>
    <n v="0"/>
    <n v="1"/>
    <n v="1"/>
    <n v="7"/>
  </r>
  <r>
    <n v="269"/>
    <n v="101"/>
    <n v="2"/>
    <x v="0"/>
    <x v="5"/>
    <n v="1"/>
    <n v="3"/>
    <n v="0"/>
    <n v="0"/>
    <n v="2"/>
    <n v="0"/>
    <n v="0"/>
    <n v="0"/>
    <n v="8"/>
  </r>
  <r>
    <n v="270"/>
    <n v="101"/>
    <n v="1"/>
    <x v="1"/>
    <x v="1"/>
    <n v="1"/>
    <n v="99"/>
    <n v="1"/>
    <n v="0"/>
    <n v="2"/>
    <n v="0"/>
    <n v="0"/>
    <n v="0"/>
    <n v="8"/>
  </r>
  <r>
    <n v="271"/>
    <n v="101"/>
    <n v="1"/>
    <x v="1"/>
    <x v="2"/>
    <n v="1"/>
    <n v="99"/>
    <n v="0"/>
    <n v="0"/>
    <n v="2"/>
    <n v="0"/>
    <n v="0"/>
    <n v="0"/>
    <n v="10"/>
  </r>
  <r>
    <n v="272"/>
    <n v="101"/>
    <n v="1"/>
    <x v="1"/>
    <x v="1"/>
    <n v="1"/>
    <n v="2"/>
    <n v="1"/>
    <n v="0"/>
    <n v="2"/>
    <n v="0"/>
    <n v="0"/>
    <n v="0"/>
    <n v="8"/>
  </r>
  <r>
    <n v="273"/>
    <n v="101"/>
    <n v="1"/>
    <x v="1"/>
    <x v="5"/>
    <n v="1"/>
    <n v="2"/>
    <n v="2"/>
    <n v="2"/>
    <n v="1"/>
    <n v="1"/>
    <n v="1"/>
    <n v="1"/>
    <n v="10"/>
  </r>
  <r>
    <n v="274"/>
    <n v="101"/>
    <n v="2"/>
    <x v="0"/>
    <x v="1"/>
    <n v="1"/>
    <n v="1"/>
    <n v="2"/>
    <n v="1"/>
    <n v="2"/>
    <n v="1"/>
    <n v="2"/>
    <n v="1"/>
    <n v="10"/>
  </r>
  <r>
    <n v="275"/>
    <n v="101"/>
    <n v="1"/>
    <x v="1"/>
    <x v="1"/>
    <n v="1"/>
    <n v="2"/>
    <n v="0"/>
    <n v="1"/>
    <n v="2"/>
    <n v="0"/>
    <n v="0"/>
    <n v="0"/>
    <n v="8"/>
  </r>
  <r>
    <n v="276"/>
    <n v="101"/>
    <n v="1"/>
    <x v="1"/>
    <x v="2"/>
    <n v="1"/>
    <n v="3"/>
    <n v="0"/>
    <n v="1"/>
    <n v="2"/>
    <n v="0"/>
    <n v="0"/>
    <n v="1"/>
    <n v="8"/>
  </r>
  <r>
    <n v="277"/>
    <n v="101"/>
    <n v="2"/>
    <x v="0"/>
    <x v="5"/>
    <n v="1"/>
    <n v="1"/>
    <n v="1"/>
    <n v="1"/>
    <n v="2"/>
    <n v="0"/>
    <n v="2"/>
    <n v="2"/>
    <n v="9"/>
  </r>
  <r>
    <n v="278"/>
    <n v="101"/>
    <n v="2"/>
    <x v="0"/>
    <x v="5"/>
    <n v="1"/>
    <n v="3"/>
    <n v="1"/>
    <n v="0"/>
    <n v="1"/>
    <n v="0"/>
    <n v="0"/>
    <n v="0"/>
    <n v="9"/>
  </r>
  <r>
    <n v="279"/>
    <n v="101"/>
    <n v="1"/>
    <x v="1"/>
    <x v="2"/>
    <n v="1"/>
    <n v="3"/>
    <n v="0"/>
    <n v="0"/>
    <n v="2"/>
    <n v="0"/>
    <n v="1"/>
    <n v="1"/>
    <n v="9"/>
  </r>
  <r>
    <n v="280"/>
    <n v="101"/>
    <n v="2"/>
    <x v="0"/>
    <x v="1"/>
    <n v="1"/>
    <n v="1"/>
    <n v="0"/>
    <n v="0"/>
    <n v="2"/>
    <n v="0"/>
    <n v="0"/>
    <n v="0"/>
    <n v="8"/>
  </r>
  <r>
    <n v="281"/>
    <n v="101"/>
    <n v="2"/>
    <x v="0"/>
    <x v="0"/>
    <n v="1"/>
    <n v="1"/>
    <n v="0"/>
    <n v="0"/>
    <n v="0"/>
    <n v="0"/>
    <n v="0"/>
    <n v="0"/>
    <n v="9"/>
  </r>
  <r>
    <n v="282"/>
    <n v="101"/>
    <n v="1"/>
    <x v="1"/>
    <x v="5"/>
    <n v="1"/>
    <n v="2"/>
    <n v="1"/>
    <n v="0"/>
    <n v="2"/>
    <n v="0"/>
    <n v="2"/>
    <n v="1"/>
    <n v="8"/>
  </r>
  <r>
    <n v="283"/>
    <n v="101"/>
    <n v="2"/>
    <x v="0"/>
    <x v="2"/>
    <n v="1"/>
    <n v="2"/>
    <n v="2"/>
    <n v="0"/>
    <n v="2"/>
    <n v="2"/>
    <n v="0"/>
    <n v="0"/>
    <n v="10"/>
  </r>
  <r>
    <n v="284"/>
    <n v="101"/>
    <n v="1"/>
    <x v="1"/>
    <x v="1"/>
    <n v="1"/>
    <n v="2"/>
    <n v="0"/>
    <n v="0"/>
    <n v="2"/>
    <n v="0"/>
    <n v="0"/>
    <n v="0"/>
    <n v="8"/>
  </r>
  <r>
    <n v="285"/>
    <n v="101"/>
    <n v="1"/>
    <x v="1"/>
    <x v="0"/>
    <n v="1"/>
    <n v="1"/>
    <n v="0"/>
    <n v="0"/>
    <n v="2"/>
    <n v="0"/>
    <n v="0"/>
    <n v="0"/>
    <n v="10"/>
  </r>
  <r>
    <n v="286"/>
    <n v="101"/>
    <n v="2"/>
    <x v="0"/>
    <x v="0"/>
    <n v="1"/>
    <n v="2"/>
    <n v="2"/>
    <n v="99"/>
    <n v="0"/>
    <n v="0"/>
    <n v="0"/>
    <n v="0"/>
    <n v="9"/>
  </r>
  <r>
    <n v="287"/>
    <n v="101"/>
    <n v="1"/>
    <x v="1"/>
    <x v="5"/>
    <n v="1"/>
    <n v="2"/>
    <n v="2"/>
    <n v="0"/>
    <n v="1"/>
    <n v="0"/>
    <n v="1"/>
    <n v="1"/>
    <n v="9"/>
  </r>
  <r>
    <n v="288"/>
    <n v="101"/>
    <n v="1"/>
    <x v="1"/>
    <x v="5"/>
    <n v="1"/>
    <n v="2"/>
    <n v="0"/>
    <n v="0"/>
    <n v="2"/>
    <n v="0"/>
    <n v="0"/>
    <n v="0"/>
    <n v="7"/>
  </r>
  <r>
    <n v="289"/>
    <n v="101"/>
    <n v="2"/>
    <x v="0"/>
    <x v="2"/>
    <n v="1"/>
    <n v="2"/>
    <n v="0"/>
    <n v="0"/>
    <n v="2"/>
    <n v="0"/>
    <n v="0"/>
    <n v="0"/>
    <n v="8"/>
  </r>
  <r>
    <n v="290"/>
    <n v="101"/>
    <n v="2"/>
    <x v="0"/>
    <x v="2"/>
    <n v="1"/>
    <n v="2"/>
    <n v="0"/>
    <n v="0"/>
    <n v="0"/>
    <n v="0"/>
    <n v="0"/>
    <n v="0"/>
    <n v="7"/>
  </r>
  <r>
    <n v="291"/>
    <n v="101"/>
    <n v="2"/>
    <x v="0"/>
    <x v="5"/>
    <n v="1"/>
    <n v="99"/>
    <n v="1"/>
    <n v="0"/>
    <n v="0"/>
    <n v="0"/>
    <n v="0"/>
    <n v="1"/>
    <n v="8"/>
  </r>
  <r>
    <n v="292"/>
    <n v="101"/>
    <n v="1"/>
    <x v="1"/>
    <x v="1"/>
    <n v="1"/>
    <n v="2"/>
    <n v="2"/>
    <n v="0"/>
    <n v="2"/>
    <n v="0"/>
    <n v="2"/>
    <n v="2"/>
    <n v="8"/>
  </r>
  <r>
    <n v="293"/>
    <n v="101"/>
    <n v="1"/>
    <x v="1"/>
    <x v="5"/>
    <n v="1"/>
    <n v="3"/>
    <n v="1"/>
    <n v="1"/>
    <n v="1"/>
    <n v="0"/>
    <n v="0"/>
    <n v="0"/>
    <n v="8"/>
  </r>
  <r>
    <n v="294"/>
    <n v="101"/>
    <n v="2"/>
    <x v="0"/>
    <x v="5"/>
    <n v="1"/>
    <n v="1"/>
    <n v="1"/>
    <n v="1"/>
    <n v="2"/>
    <n v="0"/>
    <n v="1"/>
    <n v="1"/>
    <n v="9"/>
  </r>
  <r>
    <n v="295"/>
    <n v="101"/>
    <n v="1"/>
    <x v="1"/>
    <x v="1"/>
    <n v="1"/>
    <n v="3"/>
    <n v="2"/>
    <n v="1"/>
    <n v="1"/>
    <n v="0"/>
    <n v="1"/>
    <n v="1"/>
    <n v="10"/>
  </r>
  <r>
    <n v="296"/>
    <n v="101"/>
    <n v="2"/>
    <x v="0"/>
    <x v="0"/>
    <n v="1"/>
    <n v="2"/>
    <n v="0"/>
    <n v="0"/>
    <n v="2"/>
    <n v="0"/>
    <n v="0"/>
    <n v="0"/>
    <n v="9"/>
  </r>
  <r>
    <n v="297"/>
    <n v="101"/>
    <n v="1"/>
    <x v="1"/>
    <x v="0"/>
    <n v="1"/>
    <n v="2"/>
    <n v="1"/>
    <n v="0"/>
    <n v="2"/>
    <n v="0"/>
    <n v="0"/>
    <n v="0"/>
    <n v="9"/>
  </r>
  <r>
    <n v="298"/>
    <n v="101"/>
    <n v="1"/>
    <x v="1"/>
    <x v="1"/>
    <n v="1"/>
    <n v="3"/>
    <n v="0"/>
    <n v="0"/>
    <n v="2"/>
    <n v="0"/>
    <n v="0"/>
    <n v="1"/>
    <n v="9"/>
  </r>
  <r>
    <n v="299"/>
    <n v="101"/>
    <n v="2"/>
    <x v="0"/>
    <x v="2"/>
    <n v="1"/>
    <n v="1"/>
    <n v="0"/>
    <n v="0"/>
    <n v="2"/>
    <n v="0"/>
    <n v="0"/>
    <n v="0"/>
    <n v="10"/>
  </r>
  <r>
    <n v="300"/>
    <n v="101"/>
    <n v="2"/>
    <x v="0"/>
    <x v="5"/>
    <n v="1"/>
    <n v="2"/>
    <n v="0"/>
    <n v="0"/>
    <n v="0"/>
    <n v="0"/>
    <n v="0"/>
    <n v="0"/>
    <n v="8"/>
  </r>
  <r>
    <n v="301"/>
    <n v="101"/>
    <n v="2"/>
    <x v="0"/>
    <x v="5"/>
    <n v="1"/>
    <n v="3"/>
    <n v="0"/>
    <n v="0"/>
    <n v="1"/>
    <n v="0"/>
    <n v="0"/>
    <n v="1"/>
    <n v="8"/>
  </r>
  <r>
    <n v="302"/>
    <n v="101"/>
    <n v="2"/>
    <x v="0"/>
    <x v="0"/>
    <n v="1"/>
    <n v="3"/>
    <n v="1"/>
    <n v="0"/>
    <n v="2"/>
    <n v="0"/>
    <n v="0"/>
    <n v="0"/>
    <n v="9"/>
  </r>
  <r>
    <n v="303"/>
    <n v="101"/>
    <n v="2"/>
    <x v="0"/>
    <x v="2"/>
    <n v="1"/>
    <n v="1"/>
    <n v="0"/>
    <n v="0"/>
    <n v="2"/>
    <n v="0"/>
    <n v="2"/>
    <n v="1"/>
    <n v="8"/>
  </r>
  <r>
    <n v="304"/>
    <n v="101"/>
    <n v="2"/>
    <x v="0"/>
    <x v="5"/>
    <n v="1"/>
    <n v="2"/>
    <n v="0"/>
    <n v="0"/>
    <n v="2"/>
    <n v="0"/>
    <n v="0"/>
    <n v="0"/>
    <n v="10"/>
  </r>
  <r>
    <n v="305"/>
    <n v="101"/>
    <n v="1"/>
    <x v="1"/>
    <x v="3"/>
    <n v="1"/>
    <n v="2"/>
    <n v="1"/>
    <n v="1"/>
    <n v="1"/>
    <n v="0"/>
    <n v="0"/>
    <n v="0"/>
    <n v="7"/>
  </r>
  <r>
    <n v="306"/>
    <n v="101"/>
    <n v="2"/>
    <x v="0"/>
    <x v="0"/>
    <n v="1"/>
    <n v="3"/>
    <n v="1"/>
    <n v="1"/>
    <n v="1"/>
    <n v="0"/>
    <n v="0"/>
    <n v="99"/>
    <n v="8"/>
  </r>
  <r>
    <n v="307"/>
    <n v="101"/>
    <n v="2"/>
    <x v="0"/>
    <x v="0"/>
    <n v="1"/>
    <n v="1"/>
    <n v="2"/>
    <n v="0"/>
    <n v="2"/>
    <n v="0"/>
    <n v="0"/>
    <n v="0"/>
    <n v="9"/>
  </r>
  <r>
    <n v="308"/>
    <n v="101"/>
    <n v="1"/>
    <x v="1"/>
    <x v="5"/>
    <n v="1"/>
    <n v="2"/>
    <n v="1"/>
    <n v="2"/>
    <n v="1"/>
    <n v="1"/>
    <n v="0"/>
    <n v="0"/>
    <n v="8"/>
  </r>
  <r>
    <n v="309"/>
    <n v="101"/>
    <n v="2"/>
    <x v="0"/>
    <x v="1"/>
    <n v="1"/>
    <n v="1"/>
    <n v="0"/>
    <n v="0"/>
    <n v="0"/>
    <n v="0"/>
    <n v="1"/>
    <n v="0"/>
    <n v="7"/>
  </r>
  <r>
    <n v="310"/>
    <n v="101"/>
    <n v="1"/>
    <x v="1"/>
    <x v="2"/>
    <n v="1"/>
    <n v="2"/>
    <n v="0"/>
    <n v="0"/>
    <n v="2"/>
    <n v="0"/>
    <n v="0"/>
    <n v="0"/>
    <n v="10"/>
  </r>
  <r>
    <n v="311"/>
    <n v="101"/>
    <n v="1"/>
    <x v="1"/>
    <x v="1"/>
    <n v="1"/>
    <n v="2"/>
    <n v="0"/>
    <n v="0"/>
    <n v="2"/>
    <n v="0"/>
    <n v="0"/>
    <n v="0"/>
    <n v="10"/>
  </r>
  <r>
    <n v="312"/>
    <n v="101"/>
    <n v="2"/>
    <x v="0"/>
    <x v="1"/>
    <n v="1"/>
    <n v="3"/>
    <n v="1"/>
    <n v="1"/>
    <n v="1"/>
    <n v="1"/>
    <n v="1"/>
    <n v="1"/>
    <n v="7"/>
  </r>
  <r>
    <n v="313"/>
    <n v="101"/>
    <n v="1"/>
    <x v="1"/>
    <x v="5"/>
    <n v="1"/>
    <n v="1"/>
    <n v="2"/>
    <n v="1"/>
    <n v="2"/>
    <n v="1"/>
    <n v="2"/>
    <n v="2"/>
    <n v="8"/>
  </r>
  <r>
    <n v="314"/>
    <n v="101"/>
    <n v="1"/>
    <x v="1"/>
    <x v="2"/>
    <n v="1"/>
    <n v="3"/>
    <n v="0"/>
    <n v="0"/>
    <n v="2"/>
    <n v="0"/>
    <n v="0"/>
    <n v="0"/>
    <n v="10"/>
  </r>
  <r>
    <n v="315"/>
    <n v="101"/>
    <n v="1"/>
    <x v="1"/>
    <x v="2"/>
    <n v="1"/>
    <n v="2"/>
    <n v="2"/>
    <n v="1"/>
    <n v="1"/>
    <n v="1"/>
    <n v="0"/>
    <n v="0"/>
    <n v="7"/>
  </r>
  <r>
    <n v="316"/>
    <n v="101"/>
    <n v="2"/>
    <x v="0"/>
    <x v="6"/>
    <n v="0"/>
    <n v="2"/>
    <n v="0"/>
    <n v="0"/>
    <n v="2"/>
    <n v="0"/>
    <n v="0"/>
    <n v="0"/>
    <n v="9"/>
  </r>
  <r>
    <n v="317"/>
    <n v="101"/>
    <n v="2"/>
    <x v="0"/>
    <x v="5"/>
    <n v="1"/>
    <n v="3"/>
    <n v="0"/>
    <n v="1"/>
    <n v="2"/>
    <n v="2"/>
    <n v="99"/>
    <n v="0"/>
    <n v="8"/>
  </r>
  <r>
    <n v="318"/>
    <n v="101"/>
    <n v="2"/>
    <x v="0"/>
    <x v="6"/>
    <n v="0"/>
    <n v="1"/>
    <n v="2"/>
    <n v="0"/>
    <n v="0"/>
    <n v="0"/>
    <n v="0"/>
    <n v="0"/>
    <n v="9"/>
  </r>
  <r>
    <n v="319"/>
    <n v="101"/>
    <n v="1"/>
    <x v="1"/>
    <x v="0"/>
    <n v="1"/>
    <n v="2"/>
    <n v="1"/>
    <n v="1"/>
    <n v="1"/>
    <n v="1"/>
    <n v="1"/>
    <n v="1"/>
    <n v="8"/>
  </r>
  <r>
    <n v="320"/>
    <n v="101"/>
    <n v="2"/>
    <x v="0"/>
    <x v="2"/>
    <n v="1"/>
    <n v="2"/>
    <n v="2"/>
    <n v="2"/>
    <n v="0"/>
    <n v="0"/>
    <n v="0"/>
    <n v="2"/>
    <n v="7"/>
  </r>
  <r>
    <n v="321"/>
    <n v="101"/>
    <n v="1"/>
    <x v="1"/>
    <x v="2"/>
    <n v="1"/>
    <n v="1"/>
    <n v="0"/>
    <n v="0"/>
    <n v="2"/>
    <n v="0"/>
    <n v="0"/>
    <n v="1"/>
    <n v="9"/>
  </r>
  <r>
    <n v="322"/>
    <n v="101"/>
    <n v="1"/>
    <x v="1"/>
    <x v="5"/>
    <n v="1"/>
    <n v="3"/>
    <n v="2"/>
    <n v="0"/>
    <n v="2"/>
    <n v="0"/>
    <n v="0"/>
    <n v="1"/>
    <n v="7"/>
  </r>
  <r>
    <n v="323"/>
    <n v="101"/>
    <n v="1"/>
    <x v="1"/>
    <x v="0"/>
    <n v="1"/>
    <n v="1"/>
    <n v="2"/>
    <n v="0"/>
    <n v="2"/>
    <n v="0"/>
    <n v="1"/>
    <n v="2"/>
    <n v="8"/>
  </r>
  <r>
    <n v="324"/>
    <n v="101"/>
    <n v="1"/>
    <x v="1"/>
    <x v="1"/>
    <n v="1"/>
    <n v="3"/>
    <n v="1"/>
    <n v="0"/>
    <n v="2"/>
    <n v="0"/>
    <n v="0"/>
    <n v="1"/>
    <n v="10"/>
  </r>
  <r>
    <n v="325"/>
    <n v="101"/>
    <n v="1"/>
    <x v="1"/>
    <x v="1"/>
    <n v="1"/>
    <n v="99"/>
    <n v="1"/>
    <n v="0"/>
    <n v="1"/>
    <n v="1"/>
    <n v="0"/>
    <n v="1"/>
    <n v="9"/>
  </r>
  <r>
    <n v="326"/>
    <n v="101"/>
    <n v="1"/>
    <x v="1"/>
    <x v="2"/>
    <n v="1"/>
    <n v="3"/>
    <n v="1"/>
    <n v="1"/>
    <n v="1"/>
    <n v="0"/>
    <n v="0"/>
    <n v="0"/>
    <n v="8"/>
  </r>
  <r>
    <n v="327"/>
    <n v="101"/>
    <n v="2"/>
    <x v="0"/>
    <x v="2"/>
    <n v="1"/>
    <n v="2"/>
    <n v="0"/>
    <n v="0"/>
    <n v="2"/>
    <n v="0"/>
    <n v="0"/>
    <n v="1"/>
    <n v="99"/>
  </r>
  <r>
    <n v="328"/>
    <n v="101"/>
    <n v="1"/>
    <x v="1"/>
    <x v="2"/>
    <n v="1"/>
    <n v="3"/>
    <n v="2"/>
    <n v="1"/>
    <n v="1"/>
    <n v="1"/>
    <n v="0"/>
    <n v="0"/>
    <n v="9"/>
  </r>
  <r>
    <n v="329"/>
    <n v="101"/>
    <n v="2"/>
    <x v="0"/>
    <x v="5"/>
    <n v="1"/>
    <n v="2"/>
    <n v="0"/>
    <n v="0"/>
    <n v="2"/>
    <n v="0"/>
    <n v="0"/>
    <n v="0"/>
    <n v="8"/>
  </r>
  <r>
    <n v="330"/>
    <n v="101"/>
    <n v="1"/>
    <x v="1"/>
    <x v="5"/>
    <n v="1"/>
    <n v="2"/>
    <n v="2"/>
    <n v="1"/>
    <n v="2"/>
    <n v="0"/>
    <n v="0"/>
    <n v="0"/>
    <n v="9"/>
  </r>
  <r>
    <n v="331"/>
    <n v="101"/>
    <n v="2"/>
    <x v="0"/>
    <x v="1"/>
    <n v="1"/>
    <n v="3"/>
    <n v="1"/>
    <n v="1"/>
    <n v="2"/>
    <n v="0"/>
    <n v="0"/>
    <n v="0"/>
    <n v="8"/>
  </r>
  <r>
    <n v="332"/>
    <n v="101"/>
    <n v="1"/>
    <x v="1"/>
    <x v="0"/>
    <n v="1"/>
    <n v="2"/>
    <n v="2"/>
    <n v="1"/>
    <n v="1"/>
    <n v="0"/>
    <n v="1"/>
    <n v="1"/>
    <n v="8"/>
  </r>
  <r>
    <n v="333"/>
    <n v="101"/>
    <n v="1"/>
    <x v="1"/>
    <x v="5"/>
    <n v="1"/>
    <n v="2"/>
    <n v="2"/>
    <n v="1"/>
    <n v="2"/>
    <n v="1"/>
    <n v="0"/>
    <n v="1"/>
    <n v="8"/>
  </r>
  <r>
    <n v="334"/>
    <n v="101"/>
    <n v="2"/>
    <x v="0"/>
    <x v="5"/>
    <n v="1"/>
    <n v="2"/>
    <n v="1"/>
    <n v="0"/>
    <n v="2"/>
    <n v="0"/>
    <n v="2"/>
    <n v="1"/>
    <n v="8"/>
  </r>
  <r>
    <n v="335"/>
    <n v="101"/>
    <n v="2"/>
    <x v="0"/>
    <x v="0"/>
    <n v="1"/>
    <n v="1"/>
    <n v="0"/>
    <n v="0"/>
    <n v="2"/>
    <n v="0"/>
    <n v="1"/>
    <n v="1"/>
    <n v="8"/>
  </r>
  <r>
    <n v="336"/>
    <n v="101"/>
    <n v="1"/>
    <x v="1"/>
    <x v="0"/>
    <n v="1"/>
    <n v="2"/>
    <n v="2"/>
    <n v="2"/>
    <n v="1"/>
    <n v="1"/>
    <n v="1"/>
    <n v="0"/>
    <n v="8"/>
  </r>
  <r>
    <n v="337"/>
    <n v="101"/>
    <n v="1"/>
    <x v="1"/>
    <x v="2"/>
    <n v="1"/>
    <n v="3"/>
    <n v="1"/>
    <n v="0"/>
    <n v="2"/>
    <n v="0"/>
    <n v="0"/>
    <n v="0"/>
    <n v="8"/>
  </r>
  <r>
    <n v="338"/>
    <n v="101"/>
    <n v="1"/>
    <x v="1"/>
    <x v="3"/>
    <n v="1"/>
    <n v="99"/>
    <n v="0"/>
    <n v="2"/>
    <n v="2"/>
    <n v="0"/>
    <n v="1"/>
    <n v="1"/>
    <n v="7"/>
  </r>
  <r>
    <n v="339"/>
    <n v="101"/>
    <n v="1"/>
    <x v="1"/>
    <x v="3"/>
    <n v="1"/>
    <n v="1"/>
    <n v="0"/>
    <n v="0"/>
    <n v="1"/>
    <n v="0"/>
    <n v="1"/>
    <n v="0"/>
    <n v="7"/>
  </r>
  <r>
    <n v="340"/>
    <n v="101"/>
    <n v="2"/>
    <x v="0"/>
    <x v="1"/>
    <n v="1"/>
    <n v="3"/>
    <n v="1"/>
    <n v="0"/>
    <n v="2"/>
    <n v="0"/>
    <n v="1"/>
    <n v="1"/>
    <n v="8"/>
  </r>
  <r>
    <n v="341"/>
    <n v="101"/>
    <n v="1"/>
    <x v="1"/>
    <x v="2"/>
    <n v="1"/>
    <n v="2"/>
    <n v="0"/>
    <n v="0"/>
    <n v="2"/>
    <n v="0"/>
    <n v="2"/>
    <n v="0"/>
    <n v="8"/>
  </r>
  <r>
    <n v="342"/>
    <n v="101"/>
    <n v="2"/>
    <x v="0"/>
    <x v="5"/>
    <n v="1"/>
    <n v="2"/>
    <n v="0"/>
    <n v="0"/>
    <n v="2"/>
    <n v="0"/>
    <n v="0"/>
    <n v="0"/>
    <n v="99"/>
  </r>
  <r>
    <n v="343"/>
    <n v="101"/>
    <n v="2"/>
    <x v="0"/>
    <x v="0"/>
    <n v="1"/>
    <n v="1"/>
    <n v="1"/>
    <n v="0"/>
    <n v="2"/>
    <n v="1"/>
    <n v="0"/>
    <n v="0"/>
    <n v="8"/>
  </r>
  <r>
    <n v="344"/>
    <n v="101"/>
    <n v="4"/>
    <x v="2"/>
    <x v="2"/>
    <n v="1"/>
    <n v="2"/>
    <n v="2"/>
    <n v="2"/>
    <n v="0"/>
    <n v="0"/>
    <n v="0"/>
    <n v="0"/>
    <n v="7"/>
  </r>
  <r>
    <n v="345"/>
    <n v="101"/>
    <n v="1"/>
    <x v="1"/>
    <x v="0"/>
    <n v="1"/>
    <n v="1"/>
    <n v="0"/>
    <n v="0"/>
    <n v="2"/>
    <n v="0"/>
    <n v="0"/>
    <n v="2"/>
    <n v="8"/>
  </r>
  <r>
    <n v="346"/>
    <n v="101"/>
    <n v="1"/>
    <x v="1"/>
    <x v="2"/>
    <n v="1"/>
    <n v="99"/>
    <n v="2"/>
    <n v="1"/>
    <n v="1"/>
    <n v="1"/>
    <n v="0"/>
    <n v="1"/>
    <n v="9"/>
  </r>
  <r>
    <n v="347"/>
    <n v="101"/>
    <n v="2"/>
    <x v="0"/>
    <x v="5"/>
    <n v="1"/>
    <n v="2"/>
    <n v="2"/>
    <n v="0"/>
    <n v="1"/>
    <n v="0"/>
    <n v="0"/>
    <n v="0"/>
    <n v="10"/>
  </r>
  <r>
    <n v="348"/>
    <n v="101"/>
    <n v="1"/>
    <x v="1"/>
    <x v="7"/>
    <n v="0"/>
    <n v="1"/>
    <n v="2"/>
    <n v="1"/>
    <n v="1"/>
    <n v="2"/>
    <n v="0"/>
    <n v="0"/>
    <n v="7"/>
  </r>
  <r>
    <n v="349"/>
    <n v="101"/>
    <n v="1"/>
    <x v="1"/>
    <x v="5"/>
    <n v="1"/>
    <n v="3"/>
    <n v="1"/>
    <n v="1"/>
    <n v="1"/>
    <n v="0"/>
    <n v="0"/>
    <n v="0"/>
    <n v="99"/>
  </r>
  <r>
    <n v="350"/>
    <n v="101"/>
    <n v="2"/>
    <x v="0"/>
    <x v="5"/>
    <n v="1"/>
    <n v="2"/>
    <n v="1"/>
    <n v="0"/>
    <n v="2"/>
    <n v="0"/>
    <n v="0"/>
    <n v="2"/>
    <n v="10"/>
  </r>
  <r>
    <n v="351"/>
    <n v="101"/>
    <n v="1"/>
    <x v="1"/>
    <x v="2"/>
    <n v="1"/>
    <n v="3"/>
    <n v="1"/>
    <n v="0"/>
    <n v="2"/>
    <n v="0"/>
    <n v="0"/>
    <n v="2"/>
    <n v="8"/>
  </r>
  <r>
    <n v="352"/>
    <n v="101"/>
    <n v="2"/>
    <x v="0"/>
    <x v="5"/>
    <n v="1"/>
    <n v="1"/>
    <n v="1"/>
    <n v="0"/>
    <n v="2"/>
    <n v="0"/>
    <n v="1"/>
    <n v="2"/>
    <n v="9"/>
  </r>
  <r>
    <n v="353"/>
    <n v="101"/>
    <n v="1"/>
    <x v="1"/>
    <x v="0"/>
    <n v="1"/>
    <n v="2"/>
    <n v="0"/>
    <n v="0"/>
    <n v="2"/>
    <n v="1"/>
    <n v="0"/>
    <n v="0"/>
    <n v="9"/>
  </r>
  <r>
    <n v="354"/>
    <n v="101"/>
    <n v="1"/>
    <x v="1"/>
    <x v="3"/>
    <n v="1"/>
    <n v="99"/>
    <n v="0"/>
    <n v="1"/>
    <n v="1"/>
    <n v="0"/>
    <n v="1"/>
    <n v="0"/>
    <n v="9"/>
  </r>
  <r>
    <n v="355"/>
    <n v="101"/>
    <n v="2"/>
    <x v="0"/>
    <x v="0"/>
    <n v="1"/>
    <n v="1"/>
    <n v="0"/>
    <n v="0"/>
    <n v="2"/>
    <n v="0"/>
    <n v="0"/>
    <n v="0"/>
    <n v="7"/>
  </r>
  <r>
    <n v="356"/>
    <n v="101"/>
    <n v="2"/>
    <x v="0"/>
    <x v="5"/>
    <n v="1"/>
    <n v="2"/>
    <n v="0"/>
    <n v="0"/>
    <n v="2"/>
    <n v="0"/>
    <n v="0"/>
    <n v="0"/>
    <n v="10"/>
  </r>
  <r>
    <n v="357"/>
    <n v="101"/>
    <n v="1"/>
    <x v="1"/>
    <x v="7"/>
    <n v="0"/>
    <n v="99"/>
    <n v="2"/>
    <n v="0"/>
    <n v="1"/>
    <n v="0"/>
    <n v="0"/>
    <n v="1"/>
    <n v="9"/>
  </r>
  <r>
    <n v="358"/>
    <n v="101"/>
    <n v="2"/>
    <x v="0"/>
    <x v="5"/>
    <n v="1"/>
    <n v="2"/>
    <n v="0"/>
    <n v="1"/>
    <n v="1"/>
    <n v="0"/>
    <n v="0"/>
    <n v="0"/>
    <n v="9"/>
  </r>
  <r>
    <n v="359"/>
    <n v="101"/>
    <n v="1"/>
    <x v="1"/>
    <x v="7"/>
    <n v="0"/>
    <n v="1"/>
    <n v="0"/>
    <n v="0"/>
    <n v="2"/>
    <n v="0"/>
    <n v="0"/>
    <n v="0"/>
    <n v="9"/>
  </r>
  <r>
    <n v="360"/>
    <n v="101"/>
    <n v="2"/>
    <x v="0"/>
    <x v="0"/>
    <n v="1"/>
    <n v="2"/>
    <n v="2"/>
    <n v="1"/>
    <n v="1"/>
    <n v="1"/>
    <n v="0"/>
    <n v="1"/>
    <n v="7"/>
  </r>
  <r>
    <n v="361"/>
    <n v="101"/>
    <n v="2"/>
    <x v="0"/>
    <x v="2"/>
    <n v="1"/>
    <n v="2"/>
    <n v="0"/>
    <n v="0"/>
    <n v="2"/>
    <n v="0"/>
    <n v="0"/>
    <n v="0"/>
    <n v="10"/>
  </r>
  <r>
    <n v="362"/>
    <n v="101"/>
    <n v="2"/>
    <x v="0"/>
    <x v="6"/>
    <n v="0"/>
    <n v="2"/>
    <n v="0"/>
    <n v="0"/>
    <n v="2"/>
    <n v="0"/>
    <n v="0"/>
    <n v="0"/>
    <n v="8"/>
  </r>
  <r>
    <n v="363"/>
    <n v="101"/>
    <n v="1"/>
    <x v="1"/>
    <x v="4"/>
    <n v="0"/>
    <n v="3"/>
    <n v="1"/>
    <n v="0"/>
    <n v="2"/>
    <n v="0"/>
    <n v="0"/>
    <n v="1"/>
    <n v="10"/>
  </r>
  <r>
    <n v="364"/>
    <n v="101"/>
    <n v="2"/>
    <x v="0"/>
    <x v="1"/>
    <n v="1"/>
    <n v="3"/>
    <n v="1"/>
    <n v="0"/>
    <n v="2"/>
    <n v="0"/>
    <n v="0"/>
    <n v="0"/>
    <n v="9"/>
  </r>
  <r>
    <n v="365"/>
    <n v="101"/>
    <n v="1"/>
    <x v="1"/>
    <x v="7"/>
    <n v="0"/>
    <n v="99"/>
    <n v="2"/>
    <n v="2"/>
    <n v="2"/>
    <n v="1"/>
    <n v="0"/>
    <n v="0"/>
    <n v="9"/>
  </r>
  <r>
    <n v="366"/>
    <n v="101"/>
    <n v="1"/>
    <x v="1"/>
    <x v="2"/>
    <n v="1"/>
    <n v="1"/>
    <n v="0"/>
    <n v="0"/>
    <n v="2"/>
    <n v="0"/>
    <n v="0"/>
    <n v="0"/>
    <n v="10"/>
  </r>
  <r>
    <n v="367"/>
    <n v="101"/>
    <n v="1"/>
    <x v="1"/>
    <x v="5"/>
    <n v="1"/>
    <n v="1"/>
    <n v="0"/>
    <n v="0"/>
    <n v="2"/>
    <n v="0"/>
    <n v="0"/>
    <n v="0"/>
    <n v="99"/>
  </r>
  <r>
    <n v="368"/>
    <n v="101"/>
    <n v="1"/>
    <x v="1"/>
    <x v="0"/>
    <n v="1"/>
    <n v="1"/>
    <n v="0"/>
    <n v="0"/>
    <n v="2"/>
    <n v="0"/>
    <n v="0"/>
    <n v="0"/>
    <n v="9"/>
  </r>
  <r>
    <n v="369"/>
    <n v="101"/>
    <n v="1"/>
    <x v="1"/>
    <x v="5"/>
    <n v="1"/>
    <n v="1"/>
    <n v="0"/>
    <n v="1"/>
    <n v="1"/>
    <n v="1"/>
    <n v="0"/>
    <n v="0"/>
    <n v="9"/>
  </r>
  <r>
    <n v="370"/>
    <n v="101"/>
    <n v="1"/>
    <x v="1"/>
    <x v="1"/>
    <n v="1"/>
    <n v="2"/>
    <n v="1"/>
    <n v="1"/>
    <n v="1"/>
    <n v="1"/>
    <n v="1"/>
    <n v="1"/>
    <n v="8"/>
  </r>
  <r>
    <n v="371"/>
    <n v="101"/>
    <n v="2"/>
    <x v="0"/>
    <x v="5"/>
    <n v="1"/>
    <n v="2"/>
    <n v="1"/>
    <n v="1"/>
    <n v="1"/>
    <n v="0"/>
    <n v="0"/>
    <n v="1"/>
    <n v="8"/>
  </r>
  <r>
    <n v="372"/>
    <n v="101"/>
    <n v="1"/>
    <x v="1"/>
    <x v="1"/>
    <n v="1"/>
    <n v="1"/>
    <n v="1"/>
    <n v="1"/>
    <n v="1"/>
    <n v="0"/>
    <n v="1"/>
    <n v="0"/>
    <n v="8"/>
  </r>
  <r>
    <n v="373"/>
    <n v="101"/>
    <n v="1"/>
    <x v="1"/>
    <x v="1"/>
    <n v="1"/>
    <n v="3"/>
    <n v="2"/>
    <n v="0"/>
    <n v="1"/>
    <n v="2"/>
    <n v="1"/>
    <n v="0"/>
    <n v="9"/>
  </r>
  <r>
    <n v="374"/>
    <n v="101"/>
    <n v="1"/>
    <x v="1"/>
    <x v="1"/>
    <n v="1"/>
    <n v="99"/>
    <n v="1"/>
    <n v="0"/>
    <n v="2"/>
    <n v="0"/>
    <n v="0"/>
    <n v="0"/>
    <n v="99"/>
  </r>
  <r>
    <n v="375"/>
    <n v="101"/>
    <n v="1"/>
    <x v="1"/>
    <x v="0"/>
    <n v="1"/>
    <n v="2"/>
    <n v="1"/>
    <n v="0"/>
    <n v="2"/>
    <n v="0"/>
    <n v="0"/>
    <n v="2"/>
    <n v="8"/>
  </r>
  <r>
    <n v="376"/>
    <n v="101"/>
    <n v="1"/>
    <x v="1"/>
    <x v="0"/>
    <n v="1"/>
    <n v="3"/>
    <n v="2"/>
    <n v="0"/>
    <n v="2"/>
    <n v="0"/>
    <n v="0"/>
    <n v="0"/>
    <n v="9"/>
  </r>
  <r>
    <n v="377"/>
    <n v="101"/>
    <n v="1"/>
    <x v="1"/>
    <x v="2"/>
    <n v="1"/>
    <n v="2"/>
    <n v="1"/>
    <n v="2"/>
    <n v="2"/>
    <n v="1"/>
    <n v="0"/>
    <n v="0"/>
    <n v="9"/>
  </r>
  <r>
    <n v="378"/>
    <n v="101"/>
    <n v="1"/>
    <x v="1"/>
    <x v="5"/>
    <n v="1"/>
    <n v="1"/>
    <n v="0"/>
    <n v="0"/>
    <n v="2"/>
    <n v="0"/>
    <n v="0"/>
    <n v="0"/>
    <n v="7"/>
  </r>
  <r>
    <n v="379"/>
    <n v="101"/>
    <n v="2"/>
    <x v="0"/>
    <x v="5"/>
    <n v="1"/>
    <n v="2"/>
    <n v="0"/>
    <n v="0"/>
    <n v="2"/>
    <n v="0"/>
    <n v="0"/>
    <n v="0"/>
    <n v="10"/>
  </r>
  <r>
    <n v="380"/>
    <n v="101"/>
    <n v="1"/>
    <x v="1"/>
    <x v="7"/>
    <n v="1"/>
    <n v="1"/>
    <n v="1"/>
    <n v="1"/>
    <n v="2"/>
    <n v="0"/>
    <n v="0"/>
    <n v="1"/>
    <n v="9"/>
  </r>
  <r>
    <n v="381"/>
    <n v="101"/>
    <n v="2"/>
    <x v="0"/>
    <x v="1"/>
    <n v="1"/>
    <n v="1"/>
    <n v="2"/>
    <n v="0"/>
    <n v="2"/>
    <n v="0"/>
    <n v="0"/>
    <n v="0"/>
    <n v="9"/>
  </r>
  <r>
    <n v="382"/>
    <n v="101"/>
    <n v="1"/>
    <x v="1"/>
    <x v="0"/>
    <n v="1"/>
    <n v="3"/>
    <n v="0"/>
    <n v="0"/>
    <n v="2"/>
    <n v="0"/>
    <n v="0"/>
    <n v="0"/>
    <n v="9"/>
  </r>
  <r>
    <n v="383"/>
    <n v="101"/>
    <n v="2"/>
    <x v="0"/>
    <x v="2"/>
    <n v="1"/>
    <n v="2"/>
    <n v="0"/>
    <n v="0"/>
    <n v="2"/>
    <n v="0"/>
    <n v="0"/>
    <n v="1"/>
    <n v="10"/>
  </r>
  <r>
    <n v="384"/>
    <n v="101"/>
    <n v="2"/>
    <x v="0"/>
    <x v="0"/>
    <n v="1"/>
    <n v="3"/>
    <n v="0"/>
    <n v="0"/>
    <n v="2"/>
    <n v="0"/>
    <n v="0"/>
    <n v="1"/>
    <n v="8"/>
  </r>
  <r>
    <n v="385"/>
    <n v="101"/>
    <n v="1"/>
    <x v="1"/>
    <x v="0"/>
    <n v="1"/>
    <n v="1"/>
    <n v="1"/>
    <n v="0"/>
    <n v="2"/>
    <n v="0"/>
    <n v="0"/>
    <n v="0"/>
    <n v="99"/>
  </r>
  <r>
    <n v="386"/>
    <n v="101"/>
    <n v="2"/>
    <x v="0"/>
    <x v="0"/>
    <n v="1"/>
    <n v="1"/>
    <n v="2"/>
    <n v="1"/>
    <n v="1"/>
    <n v="0"/>
    <n v="1"/>
    <n v="2"/>
    <n v="8"/>
  </r>
  <r>
    <n v="387"/>
    <n v="101"/>
    <n v="2"/>
    <x v="0"/>
    <x v="5"/>
    <n v="1"/>
    <n v="1"/>
    <n v="2"/>
    <n v="1"/>
    <n v="1"/>
    <n v="0"/>
    <n v="0"/>
    <n v="0"/>
    <n v="10"/>
  </r>
  <r>
    <n v="388"/>
    <n v="101"/>
    <n v="2"/>
    <x v="0"/>
    <x v="4"/>
    <n v="0"/>
    <n v="2"/>
    <n v="0"/>
    <n v="0"/>
    <n v="2"/>
    <n v="0"/>
    <n v="1"/>
    <n v="1"/>
    <n v="10"/>
  </r>
  <r>
    <n v="389"/>
    <n v="101"/>
    <n v="2"/>
    <x v="0"/>
    <x v="5"/>
    <n v="1"/>
    <n v="1"/>
    <n v="1"/>
    <n v="0"/>
    <n v="1"/>
    <n v="0"/>
    <n v="0"/>
    <n v="0"/>
    <n v="10"/>
  </r>
  <r>
    <n v="390"/>
    <n v="101"/>
    <n v="1"/>
    <x v="1"/>
    <x v="0"/>
    <n v="1"/>
    <n v="3"/>
    <n v="0"/>
    <n v="0"/>
    <n v="2"/>
    <n v="0"/>
    <n v="0"/>
    <n v="0"/>
    <n v="8"/>
  </r>
  <r>
    <n v="391"/>
    <n v="101"/>
    <n v="2"/>
    <x v="0"/>
    <x v="1"/>
    <n v="1"/>
    <n v="2"/>
    <n v="0"/>
    <n v="0"/>
    <n v="2"/>
    <n v="0"/>
    <n v="0"/>
    <n v="0"/>
    <n v="8"/>
  </r>
  <r>
    <n v="392"/>
    <n v="101"/>
    <n v="1"/>
    <x v="1"/>
    <x v="1"/>
    <n v="1"/>
    <n v="1"/>
    <n v="1"/>
    <n v="0"/>
    <n v="2"/>
    <n v="1"/>
    <n v="1"/>
    <n v="2"/>
    <n v="8"/>
  </r>
  <r>
    <n v="393"/>
    <n v="101"/>
    <n v="2"/>
    <x v="0"/>
    <x v="2"/>
    <n v="1"/>
    <n v="3"/>
    <n v="1"/>
    <n v="1"/>
    <n v="1"/>
    <n v="0"/>
    <n v="0"/>
    <n v="0"/>
    <n v="10"/>
  </r>
  <r>
    <n v="394"/>
    <n v="101"/>
    <n v="1"/>
    <x v="1"/>
    <x v="5"/>
    <n v="1"/>
    <n v="2"/>
    <n v="2"/>
    <n v="2"/>
    <n v="1"/>
    <n v="2"/>
    <n v="0"/>
    <n v="0"/>
    <n v="9"/>
  </r>
  <r>
    <n v="395"/>
    <n v="101"/>
    <n v="1"/>
    <x v="1"/>
    <x v="7"/>
    <n v="0"/>
    <n v="2"/>
    <n v="1"/>
    <n v="1"/>
    <n v="2"/>
    <n v="1"/>
    <n v="1"/>
    <n v="1"/>
    <n v="9"/>
  </r>
  <r>
    <n v="396"/>
    <n v="101"/>
    <n v="2"/>
    <x v="0"/>
    <x v="5"/>
    <n v="1"/>
    <n v="3"/>
    <n v="0"/>
    <n v="0"/>
    <n v="2"/>
    <n v="0"/>
    <n v="0"/>
    <n v="0"/>
    <n v="99"/>
  </r>
  <r>
    <n v="397"/>
    <n v="101"/>
    <n v="1"/>
    <x v="1"/>
    <x v="2"/>
    <n v="1"/>
    <n v="2"/>
    <n v="0"/>
    <n v="0"/>
    <n v="2"/>
    <n v="0"/>
    <n v="0"/>
    <n v="1"/>
    <n v="8"/>
  </r>
  <r>
    <n v="398"/>
    <n v="101"/>
    <n v="1"/>
    <x v="1"/>
    <x v="0"/>
    <n v="1"/>
    <n v="3"/>
    <n v="2"/>
    <n v="0"/>
    <n v="1"/>
    <n v="0"/>
    <n v="0"/>
    <n v="0"/>
    <n v="9"/>
  </r>
  <r>
    <n v="399"/>
    <n v="101"/>
    <n v="2"/>
    <x v="0"/>
    <x v="2"/>
    <n v="1"/>
    <n v="3"/>
    <n v="2"/>
    <n v="2"/>
    <n v="1"/>
    <n v="1"/>
    <n v="1"/>
    <n v="1"/>
    <n v="10"/>
  </r>
  <r>
    <n v="400"/>
    <n v="101"/>
    <n v="1"/>
    <x v="1"/>
    <x v="2"/>
    <n v="1"/>
    <n v="3"/>
    <n v="1"/>
    <n v="0"/>
    <n v="2"/>
    <n v="1"/>
    <n v="0"/>
    <n v="0"/>
    <n v="9"/>
  </r>
  <r>
    <n v="401"/>
    <n v="101"/>
    <n v="1"/>
    <x v="1"/>
    <x v="0"/>
    <n v="1"/>
    <n v="3"/>
    <n v="2"/>
    <n v="0"/>
    <n v="2"/>
    <n v="0"/>
    <n v="0"/>
    <n v="0"/>
    <n v="8"/>
  </r>
  <r>
    <n v="402"/>
    <n v="101"/>
    <n v="2"/>
    <x v="0"/>
    <x v="2"/>
    <n v="1"/>
    <n v="2"/>
    <n v="0"/>
    <n v="0"/>
    <n v="2"/>
    <n v="0"/>
    <n v="0"/>
    <n v="0"/>
    <n v="9"/>
  </r>
  <r>
    <n v="403"/>
    <n v="101"/>
    <n v="2"/>
    <x v="0"/>
    <x v="4"/>
    <n v="0"/>
    <n v="2"/>
    <n v="1"/>
    <n v="0"/>
    <n v="2"/>
    <n v="0"/>
    <n v="0"/>
    <n v="0"/>
    <n v="7"/>
  </r>
  <r>
    <n v="404"/>
    <n v="101"/>
    <n v="2"/>
    <x v="0"/>
    <x v="1"/>
    <n v="1"/>
    <n v="3"/>
    <n v="0"/>
    <n v="0"/>
    <n v="2"/>
    <n v="1"/>
    <n v="1"/>
    <n v="1"/>
    <n v="8"/>
  </r>
  <r>
    <n v="405"/>
    <n v="101"/>
    <n v="2"/>
    <x v="0"/>
    <x v="0"/>
    <n v="1"/>
    <n v="2"/>
    <n v="0"/>
    <n v="0"/>
    <n v="2"/>
    <n v="0"/>
    <n v="0"/>
    <n v="0"/>
    <n v="99"/>
  </r>
  <r>
    <n v="406"/>
    <n v="101"/>
    <n v="2"/>
    <x v="0"/>
    <x v="2"/>
    <n v="1"/>
    <n v="1"/>
    <n v="0"/>
    <n v="0"/>
    <n v="2"/>
    <n v="0"/>
    <n v="0"/>
    <n v="0"/>
    <n v="10"/>
  </r>
  <r>
    <n v="407"/>
    <n v="101"/>
    <n v="1"/>
    <x v="1"/>
    <x v="4"/>
    <n v="0"/>
    <n v="2"/>
    <n v="1"/>
    <n v="0"/>
    <n v="0"/>
    <n v="0"/>
    <n v="1"/>
    <n v="1"/>
    <n v="10"/>
  </r>
  <r>
    <n v="408"/>
    <n v="101"/>
    <n v="1"/>
    <x v="1"/>
    <x v="5"/>
    <n v="1"/>
    <n v="3"/>
    <n v="0"/>
    <n v="0"/>
    <n v="1"/>
    <n v="0"/>
    <n v="0"/>
    <n v="0"/>
    <n v="10"/>
  </r>
  <r>
    <n v="409"/>
    <n v="101"/>
    <n v="1"/>
    <x v="1"/>
    <x v="1"/>
    <n v="1"/>
    <n v="1"/>
    <n v="0"/>
    <n v="0"/>
    <n v="2"/>
    <n v="0"/>
    <n v="0"/>
    <n v="0"/>
    <n v="8"/>
  </r>
  <r>
    <n v="410"/>
    <n v="101"/>
    <n v="2"/>
    <x v="0"/>
    <x v="2"/>
    <n v="1"/>
    <n v="2"/>
    <n v="0"/>
    <n v="0"/>
    <n v="2"/>
    <n v="1"/>
    <n v="0"/>
    <n v="0"/>
    <n v="8"/>
  </r>
  <r>
    <n v="411"/>
    <n v="101"/>
    <n v="2"/>
    <x v="0"/>
    <x v="1"/>
    <n v="1"/>
    <n v="2"/>
    <n v="2"/>
    <n v="0"/>
    <n v="2"/>
    <n v="0"/>
    <n v="0"/>
    <n v="0"/>
    <n v="8"/>
  </r>
  <r>
    <n v="412"/>
    <n v="101"/>
    <n v="1"/>
    <x v="1"/>
    <x v="0"/>
    <n v="1"/>
    <n v="1"/>
    <n v="2"/>
    <n v="1"/>
    <n v="1"/>
    <n v="0"/>
    <n v="1"/>
    <n v="2"/>
    <n v="7"/>
  </r>
  <r>
    <n v="413"/>
    <n v="101"/>
    <n v="1"/>
    <x v="1"/>
    <x v="2"/>
    <n v="1"/>
    <n v="3"/>
    <n v="0"/>
    <n v="0"/>
    <n v="2"/>
    <n v="0"/>
    <n v="0"/>
    <n v="0"/>
    <n v="7"/>
  </r>
  <r>
    <n v="414"/>
    <n v="101"/>
    <n v="2"/>
    <x v="0"/>
    <x v="5"/>
    <n v="1"/>
    <n v="2"/>
    <n v="1"/>
    <n v="0"/>
    <n v="2"/>
    <n v="0"/>
    <n v="0"/>
    <n v="0"/>
    <n v="9"/>
  </r>
  <r>
    <n v="415"/>
    <n v="101"/>
    <n v="1"/>
    <x v="1"/>
    <x v="1"/>
    <n v="1"/>
    <n v="2"/>
    <n v="0"/>
    <n v="0"/>
    <n v="2"/>
    <n v="0"/>
    <n v="0"/>
    <n v="0"/>
    <n v="10"/>
  </r>
  <r>
    <n v="416"/>
    <n v="101"/>
    <n v="2"/>
    <x v="0"/>
    <x v="2"/>
    <n v="1"/>
    <n v="1"/>
    <n v="2"/>
    <n v="1"/>
    <n v="2"/>
    <n v="0"/>
    <n v="0"/>
    <n v="0"/>
    <n v="9"/>
  </r>
  <r>
    <n v="417"/>
    <n v="101"/>
    <n v="1"/>
    <x v="1"/>
    <x v="1"/>
    <n v="1"/>
    <n v="2"/>
    <n v="0"/>
    <n v="0"/>
    <n v="2"/>
    <n v="0"/>
    <n v="0"/>
    <n v="1"/>
    <n v="10"/>
  </r>
  <r>
    <n v="418"/>
    <n v="101"/>
    <n v="1"/>
    <x v="1"/>
    <x v="5"/>
    <n v="1"/>
    <n v="2"/>
    <n v="0"/>
    <n v="0"/>
    <n v="2"/>
    <n v="0"/>
    <n v="0"/>
    <n v="0"/>
    <n v="8"/>
  </r>
  <r>
    <n v="419"/>
    <n v="101"/>
    <n v="1"/>
    <x v="1"/>
    <x v="1"/>
    <n v="1"/>
    <n v="1"/>
    <n v="1"/>
    <n v="0"/>
    <n v="2"/>
    <n v="0"/>
    <n v="0"/>
    <n v="0"/>
    <n v="8"/>
  </r>
  <r>
    <n v="420"/>
    <n v="101"/>
    <n v="1"/>
    <x v="1"/>
    <x v="5"/>
    <n v="1"/>
    <n v="3"/>
    <n v="1"/>
    <n v="0"/>
    <n v="1"/>
    <n v="1"/>
    <n v="0"/>
    <n v="0"/>
    <n v="8"/>
  </r>
  <r>
    <n v="421"/>
    <n v="101"/>
    <n v="1"/>
    <x v="1"/>
    <x v="0"/>
    <n v="1"/>
    <n v="1"/>
    <n v="1"/>
    <n v="0"/>
    <n v="2"/>
    <n v="0"/>
    <n v="0"/>
    <n v="0"/>
    <n v="8"/>
  </r>
  <r>
    <n v="422"/>
    <n v="101"/>
    <n v="1"/>
    <x v="1"/>
    <x v="0"/>
    <n v="1"/>
    <n v="2"/>
    <n v="1"/>
    <n v="1"/>
    <n v="2"/>
    <n v="1"/>
    <n v="0"/>
    <n v="1"/>
    <n v="9"/>
  </r>
  <r>
    <n v="423"/>
    <n v="101"/>
    <n v="1"/>
    <x v="1"/>
    <x v="1"/>
    <n v="1"/>
    <n v="1"/>
    <n v="2"/>
    <n v="1"/>
    <n v="1"/>
    <n v="1"/>
    <n v="0"/>
    <n v="0"/>
    <n v="8"/>
  </r>
  <r>
    <n v="424"/>
    <n v="101"/>
    <n v="1"/>
    <x v="1"/>
    <x v="1"/>
    <n v="1"/>
    <n v="2"/>
    <n v="1"/>
    <n v="1"/>
    <n v="2"/>
    <n v="0"/>
    <n v="1"/>
    <n v="1"/>
    <n v="9"/>
  </r>
  <r>
    <n v="425"/>
    <n v="101"/>
    <n v="1"/>
    <x v="1"/>
    <x v="3"/>
    <n v="1"/>
    <n v="1"/>
    <n v="0"/>
    <n v="0"/>
    <n v="2"/>
    <n v="0"/>
    <n v="0"/>
    <n v="0"/>
    <n v="9"/>
  </r>
  <r>
    <n v="426"/>
    <n v="101"/>
    <n v="1"/>
    <x v="1"/>
    <x v="0"/>
    <n v="1"/>
    <n v="2"/>
    <n v="0"/>
    <n v="0"/>
    <n v="2"/>
    <n v="0"/>
    <n v="0"/>
    <n v="0"/>
    <n v="9"/>
  </r>
  <r>
    <n v="427"/>
    <n v="101"/>
    <n v="2"/>
    <x v="0"/>
    <x v="5"/>
    <n v="1"/>
    <n v="2"/>
    <n v="0"/>
    <n v="0"/>
    <n v="2"/>
    <n v="0"/>
    <n v="0"/>
    <n v="1"/>
    <n v="8"/>
  </r>
  <r>
    <n v="428"/>
    <n v="101"/>
    <n v="1"/>
    <x v="1"/>
    <x v="0"/>
    <n v="1"/>
    <n v="3"/>
    <n v="0"/>
    <n v="0"/>
    <n v="2"/>
    <n v="0"/>
    <n v="0"/>
    <n v="0"/>
    <n v="8"/>
  </r>
  <r>
    <n v="429"/>
    <n v="101"/>
    <n v="1"/>
    <x v="1"/>
    <x v="0"/>
    <n v="1"/>
    <n v="1"/>
    <n v="2"/>
    <n v="2"/>
    <n v="1"/>
    <n v="2"/>
    <n v="0"/>
    <n v="0"/>
    <n v="10"/>
  </r>
  <r>
    <n v="430"/>
    <n v="101"/>
    <n v="2"/>
    <x v="0"/>
    <x v="0"/>
    <n v="1"/>
    <n v="1"/>
    <n v="0"/>
    <n v="0"/>
    <n v="2"/>
    <n v="0"/>
    <n v="2"/>
    <n v="2"/>
    <n v="8"/>
  </r>
  <r>
    <n v="431"/>
    <n v="101"/>
    <n v="2"/>
    <x v="0"/>
    <x v="2"/>
    <n v="1"/>
    <n v="1"/>
    <n v="0"/>
    <n v="0"/>
    <n v="2"/>
    <n v="0"/>
    <n v="0"/>
    <n v="0"/>
    <n v="9"/>
  </r>
  <r>
    <n v="432"/>
    <n v="101"/>
    <n v="2"/>
    <x v="0"/>
    <x v="5"/>
    <n v="1"/>
    <n v="99"/>
    <n v="1"/>
    <n v="1"/>
    <n v="2"/>
    <n v="0"/>
    <n v="0"/>
    <n v="1"/>
    <n v="8"/>
  </r>
  <r>
    <n v="433"/>
    <n v="101"/>
    <n v="2"/>
    <x v="0"/>
    <x v="3"/>
    <n v="1"/>
    <n v="2"/>
    <n v="0"/>
    <n v="0"/>
    <n v="2"/>
    <n v="0"/>
    <n v="0"/>
    <n v="1"/>
    <n v="8"/>
  </r>
  <r>
    <n v="434"/>
    <n v="101"/>
    <n v="2"/>
    <x v="0"/>
    <x v="4"/>
    <n v="0"/>
    <n v="2"/>
    <n v="0"/>
    <n v="0"/>
    <n v="2"/>
    <n v="0"/>
    <n v="0"/>
    <n v="0"/>
    <n v="7"/>
  </r>
  <r>
    <n v="435"/>
    <n v="101"/>
    <n v="1"/>
    <x v="1"/>
    <x v="5"/>
    <n v="1"/>
    <n v="2"/>
    <n v="2"/>
    <n v="1"/>
    <n v="2"/>
    <n v="1"/>
    <n v="0"/>
    <n v="0"/>
    <n v="8"/>
  </r>
  <r>
    <n v="436"/>
    <n v="101"/>
    <n v="1"/>
    <x v="1"/>
    <x v="0"/>
    <n v="1"/>
    <n v="3"/>
    <n v="0"/>
    <n v="0"/>
    <n v="2"/>
    <n v="0"/>
    <n v="0"/>
    <n v="0"/>
    <n v="9"/>
  </r>
  <r>
    <n v="437"/>
    <n v="101"/>
    <n v="2"/>
    <x v="0"/>
    <x v="2"/>
    <n v="1"/>
    <n v="1"/>
    <n v="0"/>
    <n v="0"/>
    <n v="2"/>
    <n v="0"/>
    <n v="0"/>
    <n v="0"/>
    <n v="8"/>
  </r>
  <r>
    <n v="438"/>
    <n v="101"/>
    <n v="1"/>
    <x v="1"/>
    <x v="1"/>
    <n v="1"/>
    <n v="2"/>
    <n v="0"/>
    <n v="1"/>
    <n v="2"/>
    <n v="0"/>
    <n v="2"/>
    <n v="2"/>
    <n v="8"/>
  </r>
  <r>
    <n v="439"/>
    <n v="101"/>
    <n v="1"/>
    <x v="1"/>
    <x v="2"/>
    <n v="1"/>
    <n v="2"/>
    <n v="2"/>
    <n v="1"/>
    <n v="1"/>
    <n v="1"/>
    <n v="0"/>
    <n v="0"/>
    <n v="9"/>
  </r>
  <r>
    <n v="440"/>
    <n v="101"/>
    <n v="1"/>
    <x v="1"/>
    <x v="5"/>
    <n v="1"/>
    <n v="1"/>
    <n v="0"/>
    <n v="0"/>
    <n v="2"/>
    <n v="0"/>
    <n v="0"/>
    <n v="1"/>
    <n v="10"/>
  </r>
  <r>
    <n v="441"/>
    <n v="101"/>
    <n v="2"/>
    <x v="0"/>
    <x v="3"/>
    <n v="1"/>
    <n v="1"/>
    <n v="2"/>
    <n v="1"/>
    <n v="2"/>
    <n v="1"/>
    <n v="1"/>
    <n v="2"/>
    <n v="8"/>
  </r>
  <r>
    <n v="442"/>
    <n v="101"/>
    <n v="1"/>
    <x v="1"/>
    <x v="7"/>
    <n v="1"/>
    <n v="2"/>
    <n v="2"/>
    <n v="1"/>
    <n v="1"/>
    <n v="1"/>
    <n v="1"/>
    <n v="1"/>
    <n v="9"/>
  </r>
  <r>
    <n v="443"/>
    <n v="101"/>
    <n v="1"/>
    <x v="1"/>
    <x v="1"/>
    <n v="1"/>
    <n v="3"/>
    <n v="1"/>
    <n v="0"/>
    <n v="2"/>
    <n v="0"/>
    <n v="0"/>
    <n v="0"/>
    <n v="9"/>
  </r>
  <r>
    <n v="444"/>
    <n v="101"/>
    <n v="2"/>
    <x v="0"/>
    <x v="1"/>
    <n v="1"/>
    <n v="2"/>
    <n v="2"/>
    <n v="1"/>
    <n v="1"/>
    <n v="0"/>
    <n v="0"/>
    <n v="0"/>
    <n v="9"/>
  </r>
  <r>
    <n v="445"/>
    <n v="101"/>
    <n v="2"/>
    <x v="0"/>
    <x v="1"/>
    <n v="1"/>
    <n v="3"/>
    <n v="2"/>
    <n v="1"/>
    <n v="1"/>
    <n v="0"/>
    <n v="0"/>
    <n v="1"/>
    <n v="9"/>
  </r>
  <r>
    <n v="446"/>
    <n v="101"/>
    <n v="2"/>
    <x v="0"/>
    <x v="3"/>
    <n v="1"/>
    <n v="1"/>
    <n v="0"/>
    <n v="0"/>
    <n v="2"/>
    <n v="0"/>
    <n v="0"/>
    <n v="0"/>
    <n v="99"/>
  </r>
  <r>
    <n v="447"/>
    <n v="101"/>
    <n v="1"/>
    <x v="1"/>
    <x v="5"/>
    <n v="1"/>
    <n v="2"/>
    <n v="1"/>
    <n v="0"/>
    <n v="2"/>
    <n v="0"/>
    <n v="0"/>
    <n v="0"/>
    <n v="7"/>
  </r>
  <r>
    <n v="448"/>
    <n v="101"/>
    <n v="2"/>
    <x v="0"/>
    <x v="2"/>
    <n v="1"/>
    <n v="2"/>
    <n v="1"/>
    <n v="0"/>
    <n v="2"/>
    <n v="0"/>
    <n v="0"/>
    <n v="0"/>
    <n v="10"/>
  </r>
  <r>
    <n v="449"/>
    <n v="101"/>
    <n v="1"/>
    <x v="1"/>
    <x v="1"/>
    <n v="1"/>
    <n v="3"/>
    <n v="1"/>
    <n v="0"/>
    <n v="2"/>
    <n v="99"/>
    <n v="1"/>
    <n v="1"/>
    <n v="9"/>
  </r>
  <r>
    <n v="450"/>
    <n v="101"/>
    <n v="2"/>
    <x v="0"/>
    <x v="3"/>
    <n v="1"/>
    <n v="1"/>
    <n v="1"/>
    <n v="0"/>
    <n v="2"/>
    <n v="0"/>
    <n v="1"/>
    <n v="2"/>
    <n v="7"/>
  </r>
  <r>
    <n v="451"/>
    <n v="101"/>
    <n v="1"/>
    <x v="1"/>
    <x v="0"/>
    <n v="1"/>
    <n v="2"/>
    <n v="0"/>
    <n v="0"/>
    <n v="2"/>
    <n v="0"/>
    <n v="0"/>
    <n v="0"/>
    <n v="8"/>
  </r>
  <r>
    <n v="452"/>
    <n v="101"/>
    <n v="1"/>
    <x v="1"/>
    <x v="0"/>
    <n v="1"/>
    <n v="1"/>
    <n v="1"/>
    <n v="0"/>
    <n v="2"/>
    <n v="1"/>
    <n v="0"/>
    <n v="1"/>
    <n v="8"/>
  </r>
  <r>
    <n v="453"/>
    <n v="101"/>
    <n v="1"/>
    <x v="1"/>
    <x v="0"/>
    <n v="1"/>
    <n v="1"/>
    <n v="2"/>
    <n v="2"/>
    <n v="1"/>
    <n v="99"/>
    <n v="1"/>
    <n v="1"/>
    <n v="9"/>
  </r>
  <r>
    <n v="454"/>
    <n v="101"/>
    <n v="2"/>
    <x v="0"/>
    <x v="2"/>
    <n v="1"/>
    <n v="99"/>
    <n v="1"/>
    <n v="0"/>
    <n v="2"/>
    <n v="0"/>
    <n v="0"/>
    <n v="0"/>
    <n v="99"/>
  </r>
  <r>
    <n v="455"/>
    <n v="101"/>
    <n v="1"/>
    <x v="1"/>
    <x v="1"/>
    <n v="1"/>
    <n v="2"/>
    <n v="1"/>
    <n v="1"/>
    <n v="2"/>
    <n v="0"/>
    <n v="0"/>
    <n v="0"/>
    <n v="10"/>
  </r>
  <r>
    <n v="456"/>
    <n v="101"/>
    <n v="1"/>
    <x v="1"/>
    <x v="1"/>
    <n v="1"/>
    <n v="2"/>
    <n v="2"/>
    <n v="1"/>
    <n v="0"/>
    <n v="2"/>
    <n v="0"/>
    <n v="0"/>
    <n v="10"/>
  </r>
  <r>
    <n v="457"/>
    <n v="101"/>
    <n v="2"/>
    <x v="0"/>
    <x v="0"/>
    <n v="1"/>
    <n v="1"/>
    <n v="2"/>
    <n v="0"/>
    <n v="1"/>
    <n v="0"/>
    <n v="0"/>
    <n v="0"/>
    <n v="7"/>
  </r>
  <r>
    <n v="458"/>
    <n v="101"/>
    <n v="1"/>
    <x v="1"/>
    <x v="7"/>
    <n v="1"/>
    <n v="1"/>
    <n v="2"/>
    <n v="1"/>
    <n v="1"/>
    <n v="1"/>
    <n v="2"/>
    <n v="1"/>
    <n v="9"/>
  </r>
  <r>
    <n v="459"/>
    <n v="101"/>
    <n v="1"/>
    <x v="1"/>
    <x v="2"/>
    <n v="1"/>
    <n v="3"/>
    <n v="0"/>
    <n v="0"/>
    <n v="2"/>
    <n v="0"/>
    <n v="1"/>
    <n v="0"/>
    <n v="7"/>
  </r>
  <r>
    <n v="460"/>
    <n v="101"/>
    <n v="1"/>
    <x v="1"/>
    <x v="2"/>
    <n v="1"/>
    <n v="3"/>
    <n v="2"/>
    <n v="1"/>
    <n v="1"/>
    <n v="2"/>
    <n v="0"/>
    <n v="0"/>
    <n v="8"/>
  </r>
  <r>
    <n v="461"/>
    <n v="101"/>
    <n v="1"/>
    <x v="1"/>
    <x v="1"/>
    <n v="1"/>
    <n v="3"/>
    <n v="2"/>
    <n v="1"/>
    <n v="1"/>
    <n v="1"/>
    <n v="0"/>
    <n v="1"/>
    <n v="8"/>
  </r>
  <r>
    <n v="462"/>
    <n v="101"/>
    <n v="2"/>
    <x v="0"/>
    <x v="5"/>
    <n v="1"/>
    <n v="3"/>
    <n v="0"/>
    <n v="0"/>
    <n v="2"/>
    <n v="0"/>
    <n v="0"/>
    <n v="2"/>
    <n v="99"/>
  </r>
  <r>
    <n v="463"/>
    <n v="101"/>
    <n v="1"/>
    <x v="1"/>
    <x v="5"/>
    <n v="1"/>
    <n v="3"/>
    <n v="1"/>
    <n v="0"/>
    <n v="2"/>
    <n v="0"/>
    <n v="0"/>
    <n v="0"/>
    <n v="8"/>
  </r>
  <r>
    <n v="464"/>
    <n v="101"/>
    <n v="1"/>
    <x v="1"/>
    <x v="2"/>
    <n v="1"/>
    <n v="1"/>
    <n v="2"/>
    <n v="1"/>
    <n v="1"/>
    <n v="0"/>
    <n v="1"/>
    <n v="0"/>
    <n v="7"/>
  </r>
  <r>
    <n v="465"/>
    <n v="101"/>
    <n v="2"/>
    <x v="0"/>
    <x v="1"/>
    <n v="1"/>
    <n v="1"/>
    <n v="2"/>
    <n v="1"/>
    <n v="1"/>
    <n v="0"/>
    <n v="0"/>
    <n v="1"/>
    <n v="8"/>
  </r>
  <r>
    <n v="466"/>
    <n v="101"/>
    <n v="2"/>
    <x v="0"/>
    <x v="5"/>
    <n v="1"/>
    <n v="2"/>
    <n v="0"/>
    <n v="0"/>
    <n v="2"/>
    <n v="1"/>
    <n v="0"/>
    <n v="0"/>
    <n v="8"/>
  </r>
  <r>
    <n v="467"/>
    <n v="101"/>
    <n v="2"/>
    <x v="0"/>
    <x v="1"/>
    <n v="1"/>
    <n v="3"/>
    <n v="2"/>
    <n v="1"/>
    <n v="2"/>
    <n v="0"/>
    <n v="0"/>
    <n v="2"/>
    <n v="7"/>
  </r>
  <r>
    <n v="468"/>
    <n v="101"/>
    <n v="2"/>
    <x v="0"/>
    <x v="1"/>
    <n v="1"/>
    <n v="2"/>
    <n v="1"/>
    <n v="0"/>
    <n v="2"/>
    <n v="0"/>
    <n v="1"/>
    <n v="1"/>
    <n v="7"/>
  </r>
  <r>
    <n v="469"/>
    <n v="101"/>
    <n v="2"/>
    <x v="0"/>
    <x v="0"/>
    <n v="1"/>
    <n v="99"/>
    <n v="1"/>
    <n v="0"/>
    <n v="2"/>
    <n v="0"/>
    <n v="1"/>
    <n v="2"/>
    <n v="8"/>
  </r>
  <r>
    <n v="470"/>
    <n v="101"/>
    <n v="2"/>
    <x v="0"/>
    <x v="0"/>
    <n v="1"/>
    <n v="1"/>
    <n v="0"/>
    <n v="0"/>
    <n v="2"/>
    <n v="0"/>
    <n v="0"/>
    <n v="1"/>
    <n v="8"/>
  </r>
  <r>
    <n v="471"/>
    <n v="101"/>
    <n v="1"/>
    <x v="1"/>
    <x v="5"/>
    <n v="1"/>
    <n v="2"/>
    <n v="0"/>
    <n v="0"/>
    <n v="2"/>
    <n v="0"/>
    <n v="0"/>
    <n v="0"/>
    <n v="99"/>
  </r>
  <r>
    <n v="472"/>
    <n v="101"/>
    <n v="1"/>
    <x v="1"/>
    <x v="2"/>
    <n v="1"/>
    <n v="3"/>
    <n v="1"/>
    <n v="2"/>
    <n v="2"/>
    <n v="0"/>
    <n v="0"/>
    <n v="0"/>
    <n v="10"/>
  </r>
  <r>
    <n v="473"/>
    <n v="101"/>
    <n v="1"/>
    <x v="1"/>
    <x v="5"/>
    <n v="1"/>
    <n v="2"/>
    <n v="1"/>
    <n v="1"/>
    <n v="1"/>
    <n v="0"/>
    <n v="1"/>
    <n v="2"/>
    <n v="10"/>
  </r>
  <r>
    <n v="474"/>
    <n v="101"/>
    <n v="1"/>
    <x v="1"/>
    <x v="5"/>
    <n v="1"/>
    <n v="1"/>
    <n v="1"/>
    <n v="1"/>
    <n v="1"/>
    <n v="0"/>
    <n v="0"/>
    <n v="1"/>
    <n v="8"/>
  </r>
  <r>
    <n v="475"/>
    <n v="101"/>
    <n v="1"/>
    <x v="1"/>
    <x v="5"/>
    <n v="1"/>
    <n v="99"/>
    <n v="0"/>
    <n v="2"/>
    <n v="1"/>
    <n v="1"/>
    <n v="0"/>
    <n v="0"/>
    <n v="8"/>
  </r>
  <r>
    <n v="476"/>
    <n v="101"/>
    <n v="1"/>
    <x v="1"/>
    <x v="3"/>
    <n v="1"/>
    <n v="2"/>
    <n v="2"/>
    <n v="2"/>
    <n v="1"/>
    <n v="2"/>
    <n v="1"/>
    <n v="1"/>
    <n v="9"/>
  </r>
  <r>
    <n v="477"/>
    <n v="101"/>
    <n v="1"/>
    <x v="1"/>
    <x v="1"/>
    <n v="1"/>
    <n v="2"/>
    <n v="1"/>
    <n v="0"/>
    <n v="2"/>
    <n v="0"/>
    <n v="0"/>
    <n v="0"/>
    <n v="10"/>
  </r>
  <r>
    <n v="478"/>
    <n v="101"/>
    <n v="2"/>
    <x v="0"/>
    <x v="2"/>
    <n v="1"/>
    <n v="1"/>
    <n v="1"/>
    <n v="0"/>
    <n v="2"/>
    <n v="0"/>
    <n v="0"/>
    <n v="1"/>
    <n v="8"/>
  </r>
  <r>
    <n v="479"/>
    <n v="101"/>
    <n v="2"/>
    <x v="0"/>
    <x v="0"/>
    <n v="1"/>
    <n v="1"/>
    <n v="0"/>
    <n v="0"/>
    <n v="2"/>
    <n v="0"/>
    <n v="0"/>
    <n v="0"/>
    <n v="7"/>
  </r>
  <r>
    <n v="480"/>
    <n v="101"/>
    <n v="1"/>
    <x v="1"/>
    <x v="1"/>
    <n v="1"/>
    <n v="1"/>
    <n v="1"/>
    <n v="0"/>
    <n v="1"/>
    <n v="1"/>
    <n v="0"/>
    <n v="0"/>
    <n v="10"/>
  </r>
  <r>
    <n v="481"/>
    <n v="101"/>
    <n v="2"/>
    <x v="0"/>
    <x v="2"/>
    <n v="1"/>
    <n v="1"/>
    <n v="1"/>
    <n v="0"/>
    <n v="1"/>
    <n v="2"/>
    <n v="0"/>
    <n v="0"/>
    <n v="9"/>
  </r>
  <r>
    <n v="482"/>
    <n v="101"/>
    <n v="2"/>
    <x v="0"/>
    <x v="5"/>
    <n v="1"/>
    <n v="1"/>
    <n v="2"/>
    <n v="1"/>
    <n v="2"/>
    <n v="0"/>
    <n v="0"/>
    <n v="0"/>
    <n v="9"/>
  </r>
  <r>
    <n v="483"/>
    <n v="101"/>
    <n v="1"/>
    <x v="1"/>
    <x v="3"/>
    <n v="1"/>
    <n v="1"/>
    <n v="0"/>
    <n v="2"/>
    <n v="1"/>
    <n v="1"/>
    <n v="2"/>
    <n v="0"/>
    <n v="7"/>
  </r>
  <r>
    <n v="484"/>
    <n v="101"/>
    <n v="2"/>
    <x v="0"/>
    <x v="0"/>
    <n v="1"/>
    <n v="2"/>
    <n v="1"/>
    <n v="2"/>
    <n v="2"/>
    <n v="1"/>
    <n v="0"/>
    <n v="2"/>
    <n v="9"/>
  </r>
  <r>
    <n v="485"/>
    <n v="101"/>
    <n v="1"/>
    <x v="1"/>
    <x v="3"/>
    <n v="1"/>
    <n v="1"/>
    <n v="2"/>
    <n v="2"/>
    <n v="1"/>
    <n v="2"/>
    <n v="2"/>
    <n v="2"/>
    <n v="8"/>
  </r>
  <r>
    <n v="486"/>
    <n v="101"/>
    <n v="2"/>
    <x v="0"/>
    <x v="1"/>
    <n v="1"/>
    <n v="2"/>
    <n v="1"/>
    <n v="0"/>
    <n v="2"/>
    <n v="0"/>
    <n v="99"/>
    <n v="2"/>
    <n v="10"/>
  </r>
  <r>
    <n v="487"/>
    <n v="101"/>
    <n v="1"/>
    <x v="1"/>
    <x v="0"/>
    <n v="1"/>
    <n v="2"/>
    <n v="0"/>
    <n v="1"/>
    <n v="2"/>
    <n v="0"/>
    <n v="0"/>
    <n v="0"/>
    <n v="10"/>
  </r>
  <r>
    <n v="488"/>
    <n v="101"/>
    <n v="1"/>
    <x v="1"/>
    <x v="2"/>
    <n v="1"/>
    <n v="2"/>
    <n v="0"/>
    <n v="0"/>
    <n v="2"/>
    <n v="0"/>
    <n v="0"/>
    <n v="0"/>
    <n v="7"/>
  </r>
  <r>
    <n v="489"/>
    <n v="101"/>
    <n v="1"/>
    <x v="1"/>
    <x v="5"/>
    <n v="1"/>
    <n v="1"/>
    <n v="2"/>
    <n v="2"/>
    <n v="1"/>
    <n v="1"/>
    <n v="0"/>
    <n v="1"/>
    <n v="9"/>
  </r>
  <r>
    <n v="490"/>
    <n v="101"/>
    <n v="1"/>
    <x v="1"/>
    <x v="0"/>
    <n v="1"/>
    <n v="2"/>
    <n v="1"/>
    <n v="0"/>
    <n v="2"/>
    <n v="0"/>
    <n v="0"/>
    <n v="0"/>
    <n v="8"/>
  </r>
  <r>
    <n v="491"/>
    <n v="101"/>
    <n v="1"/>
    <x v="1"/>
    <x v="5"/>
    <n v="1"/>
    <n v="3"/>
    <n v="0"/>
    <n v="0"/>
    <n v="2"/>
    <n v="0"/>
    <n v="0"/>
    <n v="0"/>
    <n v="9"/>
  </r>
  <r>
    <n v="492"/>
    <n v="101"/>
    <n v="2"/>
    <x v="0"/>
    <x v="5"/>
    <n v="1"/>
    <n v="1"/>
    <n v="0"/>
    <n v="0"/>
    <n v="99"/>
    <n v="0"/>
    <n v="0"/>
    <n v="0"/>
    <n v="9"/>
  </r>
  <r>
    <n v="493"/>
    <n v="101"/>
    <n v="2"/>
    <x v="0"/>
    <x v="0"/>
    <n v="1"/>
    <n v="1"/>
    <n v="1"/>
    <n v="0"/>
    <n v="2"/>
    <n v="0"/>
    <n v="0"/>
    <n v="0"/>
    <n v="7"/>
  </r>
  <r>
    <n v="494"/>
    <n v="101"/>
    <n v="2"/>
    <x v="0"/>
    <x v="0"/>
    <n v="1"/>
    <n v="2"/>
    <n v="0"/>
    <n v="0"/>
    <n v="2"/>
    <n v="0"/>
    <n v="0"/>
    <n v="0"/>
    <n v="8"/>
  </r>
  <r>
    <n v="495"/>
    <n v="101"/>
    <n v="1"/>
    <x v="1"/>
    <x v="5"/>
    <n v="1"/>
    <n v="3"/>
    <n v="0"/>
    <n v="0"/>
    <n v="2"/>
    <n v="0"/>
    <n v="0"/>
    <n v="0"/>
    <n v="8"/>
  </r>
  <r>
    <n v="496"/>
    <n v="101"/>
    <n v="2"/>
    <x v="0"/>
    <x v="1"/>
    <n v="1"/>
    <n v="2"/>
    <n v="0"/>
    <n v="0"/>
    <n v="2"/>
    <n v="0"/>
    <n v="0"/>
    <n v="0"/>
    <n v="8"/>
  </r>
  <r>
    <n v="497"/>
    <n v="101"/>
    <n v="2"/>
    <x v="0"/>
    <x v="5"/>
    <n v="1"/>
    <n v="3"/>
    <n v="1"/>
    <n v="0"/>
    <n v="2"/>
    <n v="0"/>
    <n v="0"/>
    <n v="0"/>
    <n v="8"/>
  </r>
  <r>
    <n v="498"/>
    <n v="101"/>
    <n v="1"/>
    <x v="1"/>
    <x v="3"/>
    <n v="1"/>
    <n v="1"/>
    <n v="0"/>
    <n v="0"/>
    <n v="2"/>
    <n v="0"/>
    <n v="1"/>
    <n v="0"/>
    <n v="9"/>
  </r>
  <r>
    <n v="499"/>
    <n v="101"/>
    <n v="1"/>
    <x v="1"/>
    <x v="0"/>
    <n v="1"/>
    <n v="1"/>
    <n v="1"/>
    <n v="1"/>
    <n v="2"/>
    <n v="0"/>
    <n v="2"/>
    <n v="2"/>
    <n v="8"/>
  </r>
  <r>
    <n v="500"/>
    <n v="101"/>
    <n v="1"/>
    <x v="1"/>
    <x v="7"/>
    <n v="1"/>
    <n v="2"/>
    <n v="0"/>
    <n v="0"/>
    <n v="2"/>
    <n v="0"/>
    <n v="0"/>
    <n v="0"/>
    <n v="10"/>
  </r>
  <r>
    <n v="501"/>
    <n v="101"/>
    <n v="1"/>
    <x v="1"/>
    <x v="1"/>
    <n v="1"/>
    <n v="3"/>
    <n v="1"/>
    <n v="1"/>
    <n v="1"/>
    <n v="1"/>
    <n v="1"/>
    <n v="1"/>
    <n v="8"/>
  </r>
  <r>
    <n v="502"/>
    <n v="101"/>
    <n v="1"/>
    <x v="1"/>
    <x v="0"/>
    <n v="1"/>
    <n v="2"/>
    <n v="0"/>
    <n v="0"/>
    <n v="2"/>
    <n v="0"/>
    <n v="0"/>
    <n v="0"/>
    <n v="8"/>
  </r>
  <r>
    <n v="503"/>
    <n v="101"/>
    <n v="1"/>
    <x v="1"/>
    <x v="5"/>
    <n v="1"/>
    <n v="1"/>
    <n v="1"/>
    <n v="99"/>
    <n v="1"/>
    <n v="2"/>
    <n v="2"/>
    <n v="1"/>
    <n v="10"/>
  </r>
  <r>
    <n v="504"/>
    <n v="101"/>
    <n v="2"/>
    <x v="0"/>
    <x v="1"/>
    <n v="1"/>
    <n v="3"/>
    <n v="0"/>
    <n v="0"/>
    <n v="2"/>
    <n v="0"/>
    <n v="0"/>
    <n v="1"/>
    <n v="10"/>
  </r>
  <r>
    <n v="505"/>
    <n v="101"/>
    <n v="1"/>
    <x v="1"/>
    <x v="5"/>
    <n v="1"/>
    <n v="3"/>
    <n v="0"/>
    <n v="0"/>
    <n v="2"/>
    <n v="0"/>
    <n v="0"/>
    <n v="0"/>
    <n v="9"/>
  </r>
  <r>
    <n v="506"/>
    <n v="101"/>
    <n v="1"/>
    <x v="1"/>
    <x v="5"/>
    <n v="1"/>
    <n v="3"/>
    <n v="1"/>
    <n v="0"/>
    <n v="2"/>
    <n v="0"/>
    <n v="0"/>
    <n v="0"/>
    <n v="7"/>
  </r>
  <r>
    <n v="507"/>
    <n v="101"/>
    <n v="1"/>
    <x v="1"/>
    <x v="5"/>
    <n v="1"/>
    <n v="3"/>
    <n v="0"/>
    <n v="0"/>
    <n v="2"/>
    <n v="0"/>
    <n v="0"/>
    <n v="0"/>
    <n v="8"/>
  </r>
  <r>
    <n v="508"/>
    <n v="101"/>
    <n v="1"/>
    <x v="1"/>
    <x v="2"/>
    <n v="1"/>
    <n v="3"/>
    <n v="0"/>
    <n v="1"/>
    <n v="2"/>
    <n v="0"/>
    <n v="0"/>
    <n v="0"/>
    <n v="8"/>
  </r>
  <r>
    <n v="509"/>
    <n v="101"/>
    <n v="1"/>
    <x v="1"/>
    <x v="1"/>
    <n v="1"/>
    <n v="2"/>
    <n v="1"/>
    <n v="0"/>
    <n v="2"/>
    <n v="0"/>
    <n v="2"/>
    <n v="2"/>
    <n v="10"/>
  </r>
  <r>
    <n v="510"/>
    <n v="101"/>
    <n v="1"/>
    <x v="1"/>
    <x v="2"/>
    <n v="1"/>
    <n v="3"/>
    <n v="2"/>
    <n v="1"/>
    <n v="2"/>
    <n v="1"/>
    <n v="0"/>
    <n v="0"/>
    <n v="10"/>
  </r>
  <r>
    <n v="511"/>
    <n v="101"/>
    <n v="1"/>
    <x v="1"/>
    <x v="0"/>
    <n v="1"/>
    <n v="2"/>
    <n v="1"/>
    <n v="1"/>
    <n v="1"/>
    <n v="1"/>
    <n v="1"/>
    <n v="0"/>
    <n v="12"/>
  </r>
  <r>
    <n v="512"/>
    <n v="101"/>
    <n v="1"/>
    <x v="1"/>
    <x v="1"/>
    <n v="1"/>
    <n v="3"/>
    <n v="1"/>
    <n v="1"/>
    <n v="2"/>
    <n v="1"/>
    <n v="1"/>
    <n v="1"/>
    <n v="9"/>
  </r>
  <r>
    <n v="513"/>
    <n v="101"/>
    <n v="2"/>
    <x v="0"/>
    <x v="0"/>
    <n v="1"/>
    <n v="99"/>
    <n v="1"/>
    <n v="2"/>
    <n v="2"/>
    <n v="0"/>
    <n v="1"/>
    <n v="2"/>
    <n v="9"/>
  </r>
  <r>
    <n v="514"/>
    <n v="101"/>
    <n v="2"/>
    <x v="0"/>
    <x v="0"/>
    <n v="1"/>
    <n v="3"/>
    <n v="0"/>
    <n v="0"/>
    <n v="99"/>
    <n v="0"/>
    <n v="0"/>
    <n v="1"/>
    <n v="9"/>
  </r>
  <r>
    <n v="515"/>
    <n v="101"/>
    <n v="1"/>
    <x v="1"/>
    <x v="0"/>
    <n v="1"/>
    <n v="2"/>
    <n v="2"/>
    <n v="0"/>
    <n v="2"/>
    <n v="0"/>
    <n v="1"/>
    <n v="1"/>
    <n v="10"/>
  </r>
  <r>
    <n v="516"/>
    <n v="101"/>
    <n v="1"/>
    <x v="1"/>
    <x v="0"/>
    <n v="1"/>
    <n v="3"/>
    <n v="1"/>
    <n v="1"/>
    <n v="2"/>
    <n v="0"/>
    <n v="0"/>
    <n v="0"/>
    <n v="10"/>
  </r>
  <r>
    <n v="517"/>
    <n v="101"/>
    <n v="1"/>
    <x v="1"/>
    <x v="0"/>
    <n v="1"/>
    <n v="2"/>
    <n v="0"/>
    <n v="0"/>
    <n v="2"/>
    <n v="0"/>
    <n v="0"/>
    <n v="0"/>
    <n v="9"/>
  </r>
  <r>
    <n v="518"/>
    <n v="101"/>
    <n v="2"/>
    <x v="0"/>
    <x v="1"/>
    <n v="1"/>
    <n v="1"/>
    <n v="2"/>
    <n v="1"/>
    <n v="2"/>
    <n v="0"/>
    <n v="0"/>
    <n v="1"/>
    <n v="10"/>
  </r>
  <r>
    <n v="519"/>
    <n v="101"/>
    <n v="1"/>
    <x v="1"/>
    <x v="5"/>
    <n v="1"/>
    <n v="1"/>
    <n v="2"/>
    <n v="1"/>
    <n v="0"/>
    <n v="2"/>
    <n v="1"/>
    <n v="0"/>
    <n v="8"/>
  </r>
  <r>
    <n v="520"/>
    <n v="101"/>
    <n v="1"/>
    <x v="1"/>
    <x v="5"/>
    <n v="1"/>
    <n v="1"/>
    <n v="0"/>
    <n v="1"/>
    <n v="2"/>
    <n v="0"/>
    <n v="1"/>
    <n v="0"/>
    <n v="10"/>
  </r>
  <r>
    <n v="521"/>
    <n v="101"/>
    <n v="1"/>
    <x v="1"/>
    <x v="2"/>
    <n v="1"/>
    <n v="1"/>
    <n v="1"/>
    <n v="0"/>
    <n v="1"/>
    <n v="0"/>
    <n v="0"/>
    <n v="0"/>
    <n v="8"/>
  </r>
  <r>
    <n v="522"/>
    <n v="101"/>
    <n v="1"/>
    <x v="1"/>
    <x v="1"/>
    <n v="1"/>
    <n v="1"/>
    <n v="2"/>
    <n v="1"/>
    <n v="1"/>
    <n v="1"/>
    <n v="0"/>
    <n v="0"/>
    <n v="10"/>
  </r>
  <r>
    <n v="523"/>
    <n v="101"/>
    <n v="1"/>
    <x v="1"/>
    <x v="5"/>
    <n v="1"/>
    <n v="1"/>
    <n v="0"/>
    <n v="0"/>
    <n v="2"/>
    <n v="0"/>
    <n v="1"/>
    <n v="1"/>
    <n v="8"/>
  </r>
  <r>
    <n v="524"/>
    <n v="101"/>
    <n v="2"/>
    <x v="0"/>
    <x v="3"/>
    <n v="1"/>
    <n v="2"/>
    <n v="1"/>
    <n v="0"/>
    <n v="2"/>
    <n v="0"/>
    <n v="0"/>
    <n v="0"/>
    <n v="9"/>
  </r>
  <r>
    <n v="525"/>
    <n v="101"/>
    <n v="2"/>
    <x v="0"/>
    <x v="2"/>
    <n v="1"/>
    <n v="99"/>
    <n v="0"/>
    <n v="0"/>
    <n v="2"/>
    <n v="0"/>
    <n v="1"/>
    <n v="1"/>
    <n v="9"/>
  </r>
  <r>
    <n v="526"/>
    <n v="101"/>
    <n v="1"/>
    <x v="1"/>
    <x v="3"/>
    <n v="1"/>
    <n v="99"/>
    <n v="2"/>
    <n v="2"/>
    <n v="0"/>
    <n v="1"/>
    <n v="1"/>
    <n v="1"/>
    <n v="10"/>
  </r>
  <r>
    <n v="527"/>
    <n v="101"/>
    <n v="1"/>
    <x v="1"/>
    <x v="5"/>
    <n v="1"/>
    <n v="99"/>
    <n v="0"/>
    <n v="0"/>
    <n v="2"/>
    <n v="0"/>
    <n v="0"/>
    <n v="1"/>
    <n v="10"/>
  </r>
  <r>
    <n v="528"/>
    <n v="101"/>
    <n v="2"/>
    <x v="0"/>
    <x v="4"/>
    <n v="0"/>
    <n v="1"/>
    <n v="0"/>
    <n v="0"/>
    <n v="2"/>
    <n v="0"/>
    <n v="0"/>
    <n v="0"/>
    <n v="7"/>
  </r>
  <r>
    <n v="529"/>
    <n v="101"/>
    <n v="1"/>
    <x v="1"/>
    <x v="7"/>
    <n v="1"/>
    <n v="3"/>
    <n v="2"/>
    <n v="0"/>
    <n v="0"/>
    <n v="0"/>
    <n v="1"/>
    <n v="0"/>
    <n v="9"/>
  </r>
  <r>
    <n v="530"/>
    <n v="101"/>
    <n v="2"/>
    <x v="0"/>
    <x v="2"/>
    <n v="1"/>
    <n v="1"/>
    <n v="1"/>
    <n v="0"/>
    <n v="1"/>
    <n v="1"/>
    <n v="0"/>
    <n v="0"/>
    <n v="9"/>
  </r>
  <r>
    <n v="531"/>
    <n v="101"/>
    <n v="2"/>
    <x v="0"/>
    <x v="5"/>
    <n v="1"/>
    <n v="2"/>
    <n v="2"/>
    <n v="1"/>
    <n v="1"/>
    <n v="0"/>
    <n v="0"/>
    <n v="0"/>
    <n v="9"/>
  </r>
  <r>
    <n v="532"/>
    <n v="101"/>
    <n v="2"/>
    <x v="0"/>
    <x v="0"/>
    <n v="1"/>
    <n v="2"/>
    <n v="2"/>
    <n v="0"/>
    <n v="2"/>
    <n v="0"/>
    <n v="0"/>
    <n v="1"/>
    <n v="7"/>
  </r>
  <r>
    <n v="533"/>
    <n v="101"/>
    <n v="1"/>
    <x v="1"/>
    <x v="6"/>
    <n v="0"/>
    <n v="2"/>
    <n v="2"/>
    <n v="2"/>
    <n v="0"/>
    <n v="0"/>
    <n v="1"/>
    <n v="0"/>
    <n v="7"/>
  </r>
  <r>
    <n v="534"/>
    <n v="101"/>
    <n v="2"/>
    <x v="0"/>
    <x v="5"/>
    <n v="1"/>
    <n v="2"/>
    <n v="1"/>
    <n v="0"/>
    <n v="2"/>
    <n v="0"/>
    <n v="0"/>
    <n v="0"/>
    <n v="10"/>
  </r>
  <r>
    <n v="535"/>
    <n v="101"/>
    <n v="1"/>
    <x v="1"/>
    <x v="0"/>
    <n v="1"/>
    <n v="3"/>
    <n v="2"/>
    <n v="0"/>
    <n v="0"/>
    <n v="0"/>
    <n v="0"/>
    <n v="0"/>
    <n v="9"/>
  </r>
  <r>
    <n v="536"/>
    <n v="101"/>
    <n v="2"/>
    <x v="0"/>
    <x v="1"/>
    <n v="1"/>
    <n v="1"/>
    <n v="0"/>
    <n v="0"/>
    <n v="2"/>
    <n v="0"/>
    <n v="0"/>
    <n v="0"/>
    <n v="8"/>
  </r>
  <r>
    <n v="537"/>
    <n v="101"/>
    <n v="1"/>
    <x v="1"/>
    <x v="0"/>
    <n v="1"/>
    <n v="1"/>
    <n v="0"/>
    <n v="0"/>
    <n v="2"/>
    <n v="0"/>
    <n v="0"/>
    <n v="0"/>
    <n v="9"/>
  </r>
  <r>
    <n v="538"/>
    <n v="101"/>
    <n v="1"/>
    <x v="1"/>
    <x v="5"/>
    <n v="1"/>
    <n v="1"/>
    <n v="1"/>
    <n v="1"/>
    <n v="1"/>
    <n v="1"/>
    <n v="0"/>
    <n v="0"/>
    <n v="10"/>
  </r>
  <r>
    <n v="539"/>
    <n v="101"/>
    <n v="1"/>
    <x v="1"/>
    <x v="0"/>
    <n v="1"/>
    <n v="1"/>
    <n v="0"/>
    <n v="0"/>
    <n v="2"/>
    <n v="0"/>
    <n v="0"/>
    <n v="1"/>
    <n v="8"/>
  </r>
  <r>
    <n v="540"/>
    <n v="101"/>
    <n v="1"/>
    <x v="1"/>
    <x v="0"/>
    <n v="1"/>
    <n v="2"/>
    <n v="1"/>
    <n v="1"/>
    <n v="2"/>
    <n v="1"/>
    <n v="1"/>
    <n v="1"/>
    <n v="8"/>
  </r>
  <r>
    <n v="541"/>
    <n v="101"/>
    <n v="1"/>
    <x v="1"/>
    <x v="5"/>
    <n v="1"/>
    <n v="3"/>
    <n v="2"/>
    <n v="0"/>
    <n v="2"/>
    <n v="0"/>
    <n v="0"/>
    <n v="0"/>
    <n v="9"/>
  </r>
  <r>
    <n v="542"/>
    <n v="101"/>
    <n v="1"/>
    <x v="1"/>
    <x v="5"/>
    <n v="1"/>
    <n v="99"/>
    <n v="2"/>
    <n v="1"/>
    <n v="1"/>
    <n v="0"/>
    <n v="0"/>
    <n v="0"/>
    <n v="9"/>
  </r>
  <r>
    <n v="543"/>
    <n v="101"/>
    <n v="1"/>
    <x v="1"/>
    <x v="2"/>
    <n v="1"/>
    <n v="3"/>
    <n v="1"/>
    <n v="1"/>
    <n v="0"/>
    <n v="0"/>
    <n v="0"/>
    <n v="2"/>
    <n v="8"/>
  </r>
  <r>
    <n v="544"/>
    <n v="101"/>
    <n v="1"/>
    <x v="1"/>
    <x v="2"/>
    <n v="1"/>
    <n v="99"/>
    <n v="0"/>
    <n v="0"/>
    <n v="2"/>
    <n v="0"/>
    <n v="0"/>
    <n v="0"/>
    <n v="8"/>
  </r>
  <r>
    <n v="545"/>
    <n v="101"/>
    <n v="1"/>
    <x v="1"/>
    <x v="3"/>
    <n v="1"/>
    <n v="99"/>
    <n v="0"/>
    <n v="0"/>
    <n v="2"/>
    <n v="0"/>
    <n v="0"/>
    <n v="0"/>
    <n v="9"/>
  </r>
  <r>
    <n v="546"/>
    <n v="101"/>
    <n v="1"/>
    <x v="1"/>
    <x v="1"/>
    <n v="1"/>
    <n v="2"/>
    <n v="2"/>
    <n v="1"/>
    <n v="1"/>
    <n v="2"/>
    <n v="0"/>
    <n v="0"/>
    <n v="9"/>
  </r>
  <r>
    <n v="547"/>
    <n v="101"/>
    <n v="2"/>
    <x v="0"/>
    <x v="1"/>
    <n v="1"/>
    <n v="3"/>
    <n v="0"/>
    <n v="1"/>
    <n v="1"/>
    <n v="0"/>
    <n v="2"/>
    <n v="99"/>
    <n v="8"/>
  </r>
  <r>
    <n v="548"/>
    <n v="101"/>
    <n v="1"/>
    <x v="1"/>
    <x v="5"/>
    <n v="1"/>
    <n v="1"/>
    <n v="1"/>
    <n v="0"/>
    <n v="1"/>
    <n v="1"/>
    <n v="0"/>
    <n v="0"/>
    <n v="8"/>
  </r>
  <r>
    <n v="549"/>
    <n v="101"/>
    <n v="2"/>
    <x v="0"/>
    <x v="0"/>
    <n v="1"/>
    <n v="1"/>
    <n v="1"/>
    <n v="1"/>
    <n v="1"/>
    <n v="1"/>
    <n v="0"/>
    <n v="0"/>
    <n v="8"/>
  </r>
  <r>
    <n v="550"/>
    <n v="101"/>
    <n v="1"/>
    <x v="1"/>
    <x v="7"/>
    <n v="0"/>
    <n v="2"/>
    <n v="1"/>
    <n v="0"/>
    <n v="1"/>
    <n v="1"/>
    <n v="0"/>
    <n v="0"/>
    <n v="10"/>
  </r>
  <r>
    <n v="551"/>
    <n v="101"/>
    <n v="1"/>
    <x v="1"/>
    <x v="2"/>
    <n v="1"/>
    <n v="1"/>
    <n v="0"/>
    <n v="0"/>
    <n v="2"/>
    <n v="0"/>
    <n v="0"/>
    <n v="0"/>
    <n v="8"/>
  </r>
  <r>
    <n v="552"/>
    <n v="101"/>
    <n v="2"/>
    <x v="0"/>
    <x v="0"/>
    <n v="1"/>
    <n v="1"/>
    <n v="1"/>
    <n v="1"/>
    <n v="2"/>
    <n v="1"/>
    <n v="0"/>
    <n v="0"/>
    <n v="7"/>
  </r>
  <r>
    <n v="553"/>
    <n v="101"/>
    <n v="2"/>
    <x v="0"/>
    <x v="1"/>
    <n v="1"/>
    <n v="1"/>
    <n v="0"/>
    <n v="0"/>
    <n v="1"/>
    <n v="0"/>
    <n v="0"/>
    <n v="0"/>
    <n v="7"/>
  </r>
  <r>
    <n v="554"/>
    <n v="101"/>
    <n v="2"/>
    <x v="0"/>
    <x v="1"/>
    <n v="1"/>
    <n v="2"/>
    <n v="0"/>
    <n v="0"/>
    <n v="2"/>
    <n v="0"/>
    <n v="0"/>
    <n v="1"/>
    <n v="7"/>
  </r>
  <r>
    <n v="555"/>
    <n v="101"/>
    <n v="1"/>
    <x v="1"/>
    <x v="5"/>
    <n v="1"/>
    <n v="2"/>
    <n v="2"/>
    <n v="2"/>
    <n v="1"/>
    <n v="1"/>
    <n v="0"/>
    <n v="0"/>
    <n v="9"/>
  </r>
  <r>
    <n v="556"/>
    <n v="101"/>
    <n v="1"/>
    <x v="1"/>
    <x v="1"/>
    <n v="1"/>
    <n v="2"/>
    <n v="0"/>
    <n v="0"/>
    <n v="2"/>
    <n v="0"/>
    <n v="2"/>
    <n v="2"/>
    <n v="10"/>
  </r>
  <r>
    <n v="557"/>
    <n v="101"/>
    <n v="1"/>
    <x v="1"/>
    <x v="1"/>
    <n v="1"/>
    <n v="3"/>
    <n v="0"/>
    <n v="0"/>
    <n v="2"/>
    <n v="0"/>
    <n v="1"/>
    <n v="1"/>
    <n v="9"/>
  </r>
  <r>
    <n v="558"/>
    <n v="101"/>
    <n v="1"/>
    <x v="1"/>
    <x v="0"/>
    <n v="1"/>
    <n v="1"/>
    <n v="2"/>
    <n v="2"/>
    <n v="0"/>
    <n v="2"/>
    <n v="2"/>
    <n v="0"/>
    <n v="10"/>
  </r>
  <r>
    <n v="559"/>
    <n v="101"/>
    <n v="2"/>
    <x v="0"/>
    <x v="2"/>
    <n v="1"/>
    <n v="2"/>
    <n v="0"/>
    <n v="0"/>
    <n v="2"/>
    <n v="0"/>
    <n v="1"/>
    <n v="0"/>
    <n v="10"/>
  </r>
  <r>
    <n v="560"/>
    <n v="101"/>
    <n v="2"/>
    <x v="0"/>
    <x v="3"/>
    <n v="1"/>
    <n v="1"/>
    <n v="2"/>
    <n v="2"/>
    <n v="2"/>
    <n v="0"/>
    <n v="1"/>
    <n v="1"/>
    <n v="8"/>
  </r>
  <r>
    <n v="561"/>
    <n v="101"/>
    <n v="2"/>
    <x v="0"/>
    <x v="2"/>
    <n v="1"/>
    <n v="2"/>
    <n v="0"/>
    <n v="0"/>
    <n v="2"/>
    <n v="0"/>
    <n v="0"/>
    <n v="0"/>
    <n v="8"/>
  </r>
  <r>
    <n v="562"/>
    <n v="101"/>
    <n v="2"/>
    <x v="0"/>
    <x v="2"/>
    <n v="1"/>
    <n v="2"/>
    <n v="0"/>
    <n v="2"/>
    <n v="2"/>
    <n v="0"/>
    <n v="1"/>
    <n v="2"/>
    <n v="7"/>
  </r>
  <r>
    <n v="563"/>
    <n v="101"/>
    <n v="2"/>
    <x v="0"/>
    <x v="2"/>
    <n v="1"/>
    <n v="1"/>
    <n v="0"/>
    <n v="0"/>
    <n v="2"/>
    <n v="0"/>
    <n v="0"/>
    <n v="1"/>
    <n v="8"/>
  </r>
  <r>
    <n v="564"/>
    <n v="101"/>
    <n v="1"/>
    <x v="1"/>
    <x v="2"/>
    <n v="1"/>
    <n v="2"/>
    <n v="2"/>
    <n v="2"/>
    <n v="2"/>
    <n v="0"/>
    <n v="2"/>
    <n v="2"/>
    <n v="8"/>
  </r>
  <r>
    <n v="565"/>
    <n v="101"/>
    <n v="2"/>
    <x v="0"/>
    <x v="2"/>
    <n v="1"/>
    <n v="2"/>
    <n v="0"/>
    <n v="0"/>
    <n v="2"/>
    <n v="0"/>
    <n v="0"/>
    <n v="1"/>
    <n v="8"/>
  </r>
  <r>
    <n v="566"/>
    <n v="101"/>
    <n v="2"/>
    <x v="0"/>
    <x v="2"/>
    <n v="1"/>
    <n v="2"/>
    <n v="1"/>
    <n v="1"/>
    <n v="2"/>
    <n v="0"/>
    <n v="0"/>
    <n v="0"/>
    <n v="7"/>
  </r>
  <r>
    <n v="567"/>
    <n v="101"/>
    <n v="2"/>
    <x v="0"/>
    <x v="2"/>
    <n v="1"/>
    <n v="3"/>
    <n v="0"/>
    <n v="0"/>
    <n v="2"/>
    <n v="0"/>
    <n v="1"/>
    <n v="0"/>
    <n v="9"/>
  </r>
  <r>
    <n v="568"/>
    <n v="101"/>
    <n v="1"/>
    <x v="1"/>
    <x v="1"/>
    <n v="1"/>
    <n v="2"/>
    <n v="0"/>
    <n v="0"/>
    <n v="2"/>
    <n v="0"/>
    <n v="0"/>
    <n v="1"/>
    <n v="8"/>
  </r>
  <r>
    <n v="569"/>
    <n v="101"/>
    <n v="2"/>
    <x v="0"/>
    <x v="2"/>
    <n v="1"/>
    <n v="1"/>
    <n v="1"/>
    <n v="1"/>
    <n v="2"/>
    <n v="0"/>
    <n v="0"/>
    <n v="0"/>
    <n v="7"/>
  </r>
  <r>
    <n v="570"/>
    <n v="101"/>
    <n v="1"/>
    <x v="1"/>
    <x v="5"/>
    <n v="1"/>
    <n v="2"/>
    <n v="0"/>
    <n v="0"/>
    <n v="2"/>
    <n v="0"/>
    <n v="1"/>
    <n v="0"/>
    <n v="8"/>
  </r>
  <r>
    <n v="571"/>
    <n v="101"/>
    <n v="2"/>
    <x v="0"/>
    <x v="5"/>
    <n v="1"/>
    <n v="3"/>
    <n v="0"/>
    <n v="1"/>
    <n v="2"/>
    <n v="1"/>
    <n v="0"/>
    <n v="0"/>
    <n v="9"/>
  </r>
  <r>
    <n v="572"/>
    <n v="101"/>
    <n v="1"/>
    <x v="1"/>
    <x v="0"/>
    <n v="1"/>
    <n v="2"/>
    <n v="1"/>
    <n v="0"/>
    <n v="2"/>
    <n v="0"/>
    <n v="0"/>
    <n v="0"/>
    <n v="8"/>
  </r>
  <r>
    <n v="573"/>
    <n v="101"/>
    <n v="2"/>
    <x v="0"/>
    <x v="2"/>
    <n v="1"/>
    <n v="1"/>
    <n v="1"/>
    <n v="1"/>
    <n v="1"/>
    <n v="0"/>
    <n v="0"/>
    <n v="0"/>
    <n v="10"/>
  </r>
  <r>
    <n v="574"/>
    <n v="101"/>
    <n v="1"/>
    <x v="1"/>
    <x v="2"/>
    <n v="1"/>
    <n v="2"/>
    <n v="0"/>
    <n v="0"/>
    <n v="2"/>
    <n v="0"/>
    <n v="0"/>
    <n v="0"/>
    <n v="9"/>
  </r>
  <r>
    <n v="575"/>
    <n v="101"/>
    <n v="1"/>
    <x v="1"/>
    <x v="5"/>
    <n v="1"/>
    <n v="99"/>
    <n v="0"/>
    <n v="2"/>
    <n v="1"/>
    <n v="1"/>
    <n v="1"/>
    <n v="1"/>
    <n v="10"/>
  </r>
  <r>
    <n v="576"/>
    <n v="101"/>
    <n v="1"/>
    <x v="1"/>
    <x v="0"/>
    <n v="1"/>
    <n v="3"/>
    <n v="0"/>
    <n v="0"/>
    <n v="2"/>
    <n v="0"/>
    <n v="0"/>
    <n v="0"/>
    <n v="8"/>
  </r>
  <r>
    <n v="577"/>
    <n v="101"/>
    <n v="1"/>
    <x v="1"/>
    <x v="0"/>
    <n v="1"/>
    <n v="2"/>
    <n v="1"/>
    <n v="0"/>
    <n v="2"/>
    <n v="1"/>
    <n v="0"/>
    <n v="0"/>
    <n v="8"/>
  </r>
  <r>
    <n v="578"/>
    <n v="101"/>
    <n v="1"/>
    <x v="1"/>
    <x v="5"/>
    <n v="1"/>
    <n v="99"/>
    <n v="2"/>
    <n v="2"/>
    <n v="0"/>
    <n v="2"/>
    <n v="2"/>
    <n v="1"/>
    <n v="8"/>
  </r>
  <r>
    <n v="579"/>
    <n v="101"/>
    <n v="2"/>
    <x v="0"/>
    <x v="5"/>
    <n v="1"/>
    <n v="2"/>
    <n v="0"/>
    <n v="0"/>
    <n v="2"/>
    <n v="0"/>
    <n v="2"/>
    <n v="1"/>
    <n v="9"/>
  </r>
  <r>
    <n v="580"/>
    <n v="101"/>
    <n v="2"/>
    <x v="0"/>
    <x v="5"/>
    <n v="1"/>
    <n v="1"/>
    <n v="0"/>
    <n v="0"/>
    <n v="2"/>
    <n v="0"/>
    <n v="1"/>
    <n v="1"/>
    <n v="9"/>
  </r>
  <r>
    <n v="581"/>
    <n v="101"/>
    <n v="2"/>
    <x v="0"/>
    <x v="3"/>
    <n v="1"/>
    <n v="1"/>
    <n v="2"/>
    <n v="1"/>
    <n v="2"/>
    <n v="1"/>
    <n v="2"/>
    <n v="2"/>
    <n v="9"/>
  </r>
  <r>
    <n v="582"/>
    <n v="101"/>
    <n v="2"/>
    <x v="0"/>
    <x v="0"/>
    <n v="1"/>
    <n v="2"/>
    <n v="0"/>
    <n v="0"/>
    <n v="2"/>
    <n v="0"/>
    <n v="2"/>
    <n v="1"/>
    <n v="10"/>
  </r>
  <r>
    <n v="583"/>
    <n v="101"/>
    <n v="2"/>
    <x v="0"/>
    <x v="1"/>
    <n v="1"/>
    <n v="2"/>
    <n v="0"/>
    <n v="0"/>
    <n v="2"/>
    <n v="0"/>
    <n v="0"/>
    <n v="0"/>
    <n v="7"/>
  </r>
  <r>
    <n v="584"/>
    <n v="101"/>
    <n v="2"/>
    <x v="0"/>
    <x v="4"/>
    <n v="0"/>
    <n v="3"/>
    <n v="1"/>
    <n v="0"/>
    <n v="2"/>
    <n v="0"/>
    <n v="1"/>
    <n v="1"/>
    <n v="10"/>
  </r>
  <r>
    <n v="585"/>
    <n v="101"/>
    <n v="1"/>
    <x v="1"/>
    <x v="0"/>
    <n v="1"/>
    <n v="2"/>
    <n v="0"/>
    <n v="0"/>
    <n v="1"/>
    <n v="0"/>
    <n v="0"/>
    <n v="0"/>
    <n v="8"/>
  </r>
  <r>
    <n v="586"/>
    <n v="101"/>
    <n v="1"/>
    <x v="1"/>
    <x v="2"/>
    <n v="1"/>
    <n v="2"/>
    <n v="1"/>
    <n v="0"/>
    <n v="2"/>
    <n v="1"/>
    <n v="0"/>
    <n v="0"/>
    <n v="9"/>
  </r>
  <r>
    <n v="587"/>
    <n v="101"/>
    <n v="2"/>
    <x v="0"/>
    <x v="2"/>
    <n v="1"/>
    <n v="2"/>
    <n v="0"/>
    <n v="0"/>
    <n v="2"/>
    <n v="0"/>
    <n v="0"/>
    <n v="0"/>
    <n v="8"/>
  </r>
  <r>
    <n v="588"/>
    <n v="101"/>
    <n v="1"/>
    <x v="1"/>
    <x v="3"/>
    <n v="1"/>
    <n v="99"/>
    <n v="0"/>
    <n v="0"/>
    <n v="2"/>
    <n v="0"/>
    <n v="0"/>
    <n v="0"/>
    <n v="8"/>
  </r>
  <r>
    <n v="589"/>
    <n v="101"/>
    <n v="1"/>
    <x v="1"/>
    <x v="5"/>
    <n v="1"/>
    <n v="3"/>
    <n v="1"/>
    <n v="0"/>
    <n v="2"/>
    <n v="0"/>
    <n v="0"/>
    <n v="0"/>
    <n v="7"/>
  </r>
  <r>
    <n v="590"/>
    <n v="101"/>
    <n v="2"/>
    <x v="0"/>
    <x v="7"/>
    <n v="1"/>
    <n v="3"/>
    <n v="1"/>
    <n v="0"/>
    <n v="2"/>
    <n v="0"/>
    <n v="0"/>
    <n v="0"/>
    <n v="10"/>
  </r>
  <r>
    <n v="591"/>
    <n v="101"/>
    <n v="2"/>
    <x v="0"/>
    <x v="1"/>
    <n v="1"/>
    <n v="2"/>
    <n v="0"/>
    <n v="0"/>
    <n v="2"/>
    <n v="0"/>
    <n v="0"/>
    <n v="0"/>
    <n v="8"/>
  </r>
  <r>
    <n v="592"/>
    <n v="101"/>
    <n v="1"/>
    <x v="1"/>
    <x v="2"/>
    <n v="1"/>
    <n v="2"/>
    <n v="1"/>
    <n v="0"/>
    <n v="2"/>
    <n v="0"/>
    <n v="1"/>
    <n v="1"/>
    <n v="8"/>
  </r>
  <r>
    <n v="593"/>
    <n v="101"/>
    <n v="2"/>
    <x v="0"/>
    <x v="0"/>
    <n v="1"/>
    <n v="3"/>
    <n v="1"/>
    <n v="1"/>
    <n v="2"/>
    <n v="0"/>
    <n v="0"/>
    <n v="0"/>
    <n v="9"/>
  </r>
  <r>
    <n v="594"/>
    <n v="101"/>
    <n v="2"/>
    <x v="0"/>
    <x v="2"/>
    <n v="1"/>
    <n v="2"/>
    <n v="0"/>
    <n v="2"/>
    <n v="2"/>
    <n v="0"/>
    <n v="2"/>
    <n v="2"/>
    <n v="9"/>
  </r>
  <r>
    <n v="595"/>
    <n v="101"/>
    <n v="1"/>
    <x v="1"/>
    <x v="0"/>
    <n v="1"/>
    <n v="2"/>
    <n v="1"/>
    <n v="0"/>
    <n v="2"/>
    <n v="0"/>
    <n v="0"/>
    <n v="0"/>
    <n v="8"/>
  </r>
  <r>
    <n v="596"/>
    <n v="101"/>
    <n v="2"/>
    <x v="0"/>
    <x v="5"/>
    <n v="1"/>
    <n v="2"/>
    <n v="0"/>
    <n v="0"/>
    <n v="2"/>
    <n v="0"/>
    <n v="0"/>
    <n v="0"/>
    <n v="10"/>
  </r>
  <r>
    <n v="597"/>
    <n v="101"/>
    <n v="2"/>
    <x v="0"/>
    <x v="0"/>
    <n v="1"/>
    <n v="2"/>
    <n v="0"/>
    <n v="0"/>
    <n v="2"/>
    <n v="0"/>
    <n v="0"/>
    <n v="0"/>
    <n v="8"/>
  </r>
  <r>
    <n v="598"/>
    <n v="101"/>
    <n v="1"/>
    <x v="1"/>
    <x v="0"/>
    <n v="1"/>
    <n v="2"/>
    <n v="2"/>
    <n v="2"/>
    <n v="2"/>
    <n v="2"/>
    <n v="2"/>
    <n v="0"/>
    <n v="10"/>
  </r>
  <r>
    <n v="599"/>
    <n v="101"/>
    <n v="1"/>
    <x v="1"/>
    <x v="2"/>
    <n v="1"/>
    <n v="99"/>
    <n v="0"/>
    <n v="0"/>
    <n v="2"/>
    <n v="0"/>
    <n v="0"/>
    <n v="0"/>
    <n v="8"/>
  </r>
  <r>
    <n v="600"/>
    <n v="101"/>
    <n v="1"/>
    <x v="1"/>
    <x v="2"/>
    <n v="1"/>
    <n v="2"/>
    <n v="1"/>
    <n v="2"/>
    <n v="1"/>
    <n v="0"/>
    <n v="0"/>
    <n v="0"/>
    <n v="9"/>
  </r>
  <r>
    <n v="601"/>
    <n v="101"/>
    <n v="1"/>
    <x v="1"/>
    <x v="1"/>
    <n v="1"/>
    <n v="2"/>
    <n v="1"/>
    <n v="0"/>
    <n v="2"/>
    <n v="1"/>
    <n v="0"/>
    <n v="0"/>
    <n v="8"/>
  </r>
  <r>
    <n v="602"/>
    <n v="101"/>
    <n v="1"/>
    <x v="1"/>
    <x v="0"/>
    <n v="1"/>
    <n v="2"/>
    <n v="0"/>
    <n v="0"/>
    <n v="1"/>
    <n v="2"/>
    <n v="0"/>
    <n v="1"/>
    <n v="8"/>
  </r>
  <r>
    <n v="603"/>
    <n v="101"/>
    <n v="2"/>
    <x v="0"/>
    <x v="2"/>
    <n v="1"/>
    <n v="3"/>
    <n v="2"/>
    <n v="0"/>
    <n v="2"/>
    <n v="0"/>
    <n v="0"/>
    <n v="0"/>
    <n v="8"/>
  </r>
  <r>
    <n v="604"/>
    <n v="101"/>
    <n v="2"/>
    <x v="0"/>
    <x v="5"/>
    <n v="1"/>
    <n v="2"/>
    <n v="0"/>
    <n v="0"/>
    <n v="2"/>
    <n v="0"/>
    <n v="0"/>
    <n v="2"/>
    <n v="9"/>
  </r>
  <r>
    <n v="605"/>
    <n v="101"/>
    <n v="2"/>
    <x v="0"/>
    <x v="2"/>
    <n v="1"/>
    <n v="1"/>
    <n v="0"/>
    <n v="0"/>
    <n v="2"/>
    <n v="0"/>
    <n v="1"/>
    <n v="1"/>
    <n v="7"/>
  </r>
  <r>
    <n v="606"/>
    <n v="101"/>
    <n v="2"/>
    <x v="0"/>
    <x v="7"/>
    <n v="0"/>
    <n v="99"/>
    <n v="0"/>
    <n v="0"/>
    <n v="1"/>
    <n v="0"/>
    <n v="0"/>
    <n v="0"/>
    <n v="9"/>
  </r>
  <r>
    <n v="607"/>
    <n v="101"/>
    <n v="2"/>
    <x v="0"/>
    <x v="5"/>
    <n v="1"/>
    <n v="3"/>
    <n v="0"/>
    <n v="0"/>
    <n v="1"/>
    <n v="0"/>
    <n v="0"/>
    <n v="0"/>
    <n v="9"/>
  </r>
  <r>
    <n v="608"/>
    <n v="101"/>
    <n v="2"/>
    <x v="0"/>
    <x v="5"/>
    <n v="1"/>
    <n v="2"/>
    <n v="2"/>
    <n v="0"/>
    <n v="2"/>
    <n v="0"/>
    <n v="0"/>
    <n v="0"/>
    <n v="8"/>
  </r>
  <r>
    <n v="609"/>
    <n v="101"/>
    <n v="2"/>
    <x v="0"/>
    <x v="2"/>
    <n v="1"/>
    <n v="2"/>
    <n v="0"/>
    <n v="0"/>
    <n v="2"/>
    <n v="0"/>
    <n v="0"/>
    <n v="0"/>
    <n v="8"/>
  </r>
  <r>
    <n v="610"/>
    <n v="101"/>
    <n v="1"/>
    <x v="1"/>
    <x v="5"/>
    <n v="1"/>
    <n v="2"/>
    <n v="2"/>
    <n v="2"/>
    <n v="1"/>
    <n v="1"/>
    <n v="2"/>
    <n v="2"/>
    <n v="9"/>
  </r>
  <r>
    <n v="611"/>
    <n v="101"/>
    <n v="2"/>
    <x v="0"/>
    <x v="1"/>
    <n v="1"/>
    <n v="1"/>
    <n v="0"/>
    <n v="0"/>
    <n v="2"/>
    <n v="0"/>
    <n v="0"/>
    <n v="1"/>
    <n v="8"/>
  </r>
  <r>
    <n v="612"/>
    <n v="101"/>
    <n v="2"/>
    <x v="0"/>
    <x v="0"/>
    <n v="1"/>
    <n v="1"/>
    <n v="1"/>
    <n v="0"/>
    <n v="0"/>
    <n v="0"/>
    <n v="0"/>
    <n v="1"/>
    <n v="7"/>
  </r>
  <r>
    <n v="613"/>
    <n v="101"/>
    <n v="2"/>
    <x v="0"/>
    <x v="5"/>
    <n v="1"/>
    <n v="1"/>
    <n v="0"/>
    <n v="0"/>
    <n v="2"/>
    <n v="0"/>
    <n v="1"/>
    <n v="0"/>
    <n v="99"/>
  </r>
  <r>
    <n v="614"/>
    <n v="101"/>
    <n v="1"/>
    <x v="1"/>
    <x v="3"/>
    <n v="1"/>
    <n v="1"/>
    <n v="1"/>
    <n v="0"/>
    <n v="2"/>
    <n v="0"/>
    <n v="0"/>
    <n v="1"/>
    <n v="7"/>
  </r>
  <r>
    <n v="615"/>
    <n v="101"/>
    <n v="1"/>
    <x v="1"/>
    <x v="5"/>
    <n v="1"/>
    <n v="2"/>
    <n v="1"/>
    <n v="0"/>
    <n v="1"/>
    <n v="0"/>
    <n v="0"/>
    <n v="0"/>
    <n v="9"/>
  </r>
  <r>
    <n v="616"/>
    <n v="101"/>
    <n v="2"/>
    <x v="0"/>
    <x v="0"/>
    <n v="1"/>
    <n v="2"/>
    <n v="1"/>
    <n v="0"/>
    <n v="2"/>
    <n v="0"/>
    <n v="0"/>
    <n v="0"/>
    <n v="10"/>
  </r>
  <r>
    <n v="617"/>
    <n v="101"/>
    <n v="1"/>
    <x v="1"/>
    <x v="5"/>
    <n v="1"/>
    <n v="1"/>
    <n v="1"/>
    <n v="1"/>
    <n v="1"/>
    <n v="2"/>
    <n v="1"/>
    <n v="0"/>
    <n v="8"/>
  </r>
  <r>
    <n v="618"/>
    <n v="101"/>
    <n v="1"/>
    <x v="1"/>
    <x v="7"/>
    <n v="1"/>
    <n v="2"/>
    <n v="2"/>
    <n v="0"/>
    <n v="2"/>
    <n v="0"/>
    <n v="0"/>
    <n v="1"/>
    <n v="9"/>
  </r>
  <r>
    <n v="619"/>
    <n v="101"/>
    <n v="1"/>
    <x v="1"/>
    <x v="1"/>
    <n v="1"/>
    <n v="99"/>
    <n v="2"/>
    <n v="2"/>
    <n v="0"/>
    <n v="2"/>
    <n v="0"/>
    <n v="0"/>
    <n v="9"/>
  </r>
  <r>
    <n v="620"/>
    <n v="101"/>
    <n v="1"/>
    <x v="1"/>
    <x v="7"/>
    <n v="1"/>
    <n v="2"/>
    <n v="2"/>
    <n v="2"/>
    <n v="1"/>
    <n v="1"/>
    <n v="0"/>
    <n v="0"/>
    <n v="10"/>
  </r>
  <r>
    <n v="621"/>
    <n v="101"/>
    <n v="1"/>
    <x v="1"/>
    <x v="1"/>
    <n v="1"/>
    <n v="1"/>
    <n v="2"/>
    <n v="2"/>
    <n v="1"/>
    <n v="2"/>
    <n v="1"/>
    <n v="99"/>
    <n v="8"/>
  </r>
  <r>
    <n v="622"/>
    <n v="101"/>
    <n v="2"/>
    <x v="0"/>
    <x v="1"/>
    <n v="1"/>
    <n v="3"/>
    <n v="1"/>
    <n v="1"/>
    <n v="2"/>
    <n v="0"/>
    <n v="1"/>
    <n v="1"/>
    <n v="9"/>
  </r>
  <r>
    <n v="623"/>
    <n v="101"/>
    <n v="2"/>
    <x v="0"/>
    <x v="2"/>
    <n v="1"/>
    <n v="3"/>
    <n v="0"/>
    <n v="0"/>
    <n v="2"/>
    <n v="0"/>
    <n v="0"/>
    <n v="0"/>
    <n v="10"/>
  </r>
  <r>
    <n v="624"/>
    <n v="101"/>
    <n v="1"/>
    <x v="1"/>
    <x v="0"/>
    <n v="1"/>
    <n v="2"/>
    <n v="2"/>
    <n v="0"/>
    <n v="2"/>
    <n v="0"/>
    <n v="0"/>
    <n v="1"/>
    <n v="12"/>
  </r>
  <r>
    <n v="625"/>
    <n v="101"/>
    <n v="1"/>
    <x v="1"/>
    <x v="5"/>
    <n v="1"/>
    <n v="2"/>
    <n v="0"/>
    <n v="0"/>
    <n v="2"/>
    <n v="0"/>
    <n v="0"/>
    <n v="0"/>
    <n v="10"/>
  </r>
  <r>
    <n v="626"/>
    <n v="101"/>
    <n v="1"/>
    <x v="1"/>
    <x v="0"/>
    <n v="1"/>
    <n v="2"/>
    <n v="2"/>
    <n v="0"/>
    <n v="2"/>
    <n v="0"/>
    <n v="0"/>
    <n v="0"/>
    <n v="8"/>
  </r>
  <r>
    <n v="627"/>
    <n v="101"/>
    <n v="1"/>
    <x v="1"/>
    <x v="1"/>
    <n v="1"/>
    <n v="1"/>
    <n v="1"/>
    <n v="1"/>
    <n v="2"/>
    <n v="1"/>
    <n v="0"/>
    <n v="0"/>
    <n v="8"/>
  </r>
  <r>
    <n v="628"/>
    <n v="101"/>
    <n v="1"/>
    <x v="1"/>
    <x v="5"/>
    <n v="1"/>
    <n v="2"/>
    <n v="0"/>
    <n v="0"/>
    <n v="2"/>
    <n v="0"/>
    <n v="0"/>
    <n v="0"/>
    <n v="9"/>
  </r>
  <r>
    <n v="629"/>
    <n v="101"/>
    <n v="1"/>
    <x v="1"/>
    <x v="5"/>
    <n v="1"/>
    <n v="3"/>
    <n v="1"/>
    <n v="0"/>
    <n v="2"/>
    <n v="0"/>
    <n v="1"/>
    <n v="1"/>
    <n v="9"/>
  </r>
  <r>
    <n v="630"/>
    <n v="101"/>
    <n v="1"/>
    <x v="1"/>
    <x v="5"/>
    <n v="1"/>
    <n v="99"/>
    <n v="1"/>
    <n v="2"/>
    <n v="1"/>
    <n v="1"/>
    <n v="1"/>
    <n v="2"/>
    <n v="8"/>
  </r>
  <r>
    <n v="631"/>
    <n v="101"/>
    <n v="2"/>
    <x v="0"/>
    <x v="2"/>
    <n v="1"/>
    <n v="3"/>
    <n v="0"/>
    <n v="0"/>
    <n v="1"/>
    <n v="1"/>
    <n v="0"/>
    <n v="1"/>
    <n v="8"/>
  </r>
  <r>
    <n v="632"/>
    <n v="101"/>
    <n v="1"/>
    <x v="1"/>
    <x v="0"/>
    <n v="1"/>
    <n v="2"/>
    <n v="0"/>
    <n v="0"/>
    <n v="2"/>
    <n v="0"/>
    <n v="1"/>
    <n v="0"/>
    <n v="8"/>
  </r>
  <r>
    <n v="633"/>
    <n v="101"/>
    <n v="2"/>
    <x v="0"/>
    <x v="2"/>
    <n v="1"/>
    <n v="2"/>
    <n v="0"/>
    <n v="0"/>
    <n v="2"/>
    <n v="0"/>
    <n v="0"/>
    <n v="0"/>
    <n v="8"/>
  </r>
  <r>
    <n v="634"/>
    <n v="101"/>
    <n v="2"/>
    <x v="0"/>
    <x v="2"/>
    <n v="1"/>
    <n v="99"/>
    <n v="0"/>
    <n v="1"/>
    <n v="2"/>
    <n v="0"/>
    <n v="1"/>
    <n v="1"/>
    <n v="8"/>
  </r>
  <r>
    <n v="635"/>
    <n v="101"/>
    <n v="1"/>
    <x v="1"/>
    <x v="5"/>
    <n v="1"/>
    <n v="3"/>
    <n v="0"/>
    <n v="0"/>
    <n v="2"/>
    <n v="0"/>
    <n v="0"/>
    <n v="0"/>
    <n v="8"/>
  </r>
  <r>
    <n v="636"/>
    <n v="101"/>
    <n v="2"/>
    <x v="0"/>
    <x v="0"/>
    <n v="1"/>
    <n v="2"/>
    <n v="0"/>
    <n v="0"/>
    <n v="2"/>
    <n v="0"/>
    <n v="1"/>
    <n v="2"/>
    <n v="9"/>
  </r>
  <r>
    <n v="637"/>
    <n v="101"/>
    <n v="2"/>
    <x v="0"/>
    <x v="2"/>
    <n v="1"/>
    <n v="3"/>
    <n v="0"/>
    <n v="0"/>
    <n v="2"/>
    <n v="0"/>
    <n v="0"/>
    <n v="0"/>
    <n v="9"/>
  </r>
  <r>
    <n v="638"/>
    <n v="101"/>
    <n v="2"/>
    <x v="0"/>
    <x v="5"/>
    <n v="1"/>
    <n v="1"/>
    <n v="0"/>
    <n v="0"/>
    <n v="2"/>
    <n v="0"/>
    <n v="0"/>
    <n v="0"/>
    <n v="8"/>
  </r>
  <r>
    <n v="639"/>
    <n v="101"/>
    <n v="2"/>
    <x v="0"/>
    <x v="5"/>
    <n v="1"/>
    <n v="2"/>
    <n v="0"/>
    <n v="0"/>
    <n v="2"/>
    <n v="0"/>
    <n v="0"/>
    <n v="0"/>
    <n v="8"/>
  </r>
  <r>
    <n v="640"/>
    <n v="101"/>
    <n v="2"/>
    <x v="0"/>
    <x v="2"/>
    <n v="1"/>
    <n v="2"/>
    <n v="0"/>
    <n v="1"/>
    <n v="0"/>
    <n v="0"/>
    <n v="0"/>
    <n v="1"/>
    <n v="8"/>
  </r>
  <r>
    <n v="641"/>
    <n v="101"/>
    <n v="2"/>
    <x v="0"/>
    <x v="5"/>
    <n v="1"/>
    <n v="2"/>
    <n v="0"/>
    <n v="0"/>
    <n v="2"/>
    <n v="0"/>
    <n v="0"/>
    <n v="0"/>
    <n v="8"/>
  </r>
  <r>
    <n v="642"/>
    <n v="101"/>
    <n v="1"/>
    <x v="1"/>
    <x v="1"/>
    <n v="1"/>
    <n v="1"/>
    <n v="0"/>
    <n v="0"/>
    <n v="2"/>
    <n v="0"/>
    <n v="0"/>
    <n v="0"/>
    <n v="10"/>
  </r>
  <r>
    <n v="643"/>
    <n v="101"/>
    <n v="2"/>
    <x v="0"/>
    <x v="2"/>
    <n v="1"/>
    <n v="1"/>
    <n v="0"/>
    <n v="0"/>
    <n v="2"/>
    <n v="0"/>
    <n v="0"/>
    <n v="0"/>
    <n v="9"/>
  </r>
  <r>
    <n v="644"/>
    <n v="101"/>
    <n v="2"/>
    <x v="0"/>
    <x v="2"/>
    <n v="1"/>
    <n v="1"/>
    <n v="0"/>
    <n v="0"/>
    <n v="2"/>
    <n v="0"/>
    <n v="0"/>
    <n v="0"/>
    <n v="10"/>
  </r>
  <r>
    <n v="645"/>
    <n v="101"/>
    <n v="2"/>
    <x v="0"/>
    <x v="5"/>
    <n v="1"/>
    <n v="1"/>
    <n v="0"/>
    <n v="0"/>
    <n v="2"/>
    <n v="0"/>
    <n v="0"/>
    <n v="0"/>
    <n v="10"/>
  </r>
  <r>
    <n v="646"/>
    <n v="101"/>
    <n v="1"/>
    <x v="1"/>
    <x v="1"/>
    <n v="1"/>
    <n v="2"/>
    <n v="0"/>
    <n v="0"/>
    <n v="2"/>
    <n v="0"/>
    <n v="0"/>
    <n v="0"/>
    <n v="10"/>
  </r>
  <r>
    <n v="647"/>
    <n v="101"/>
    <n v="2"/>
    <x v="0"/>
    <x v="1"/>
    <n v="1"/>
    <n v="2"/>
    <n v="1"/>
    <n v="0"/>
    <n v="2"/>
    <n v="0"/>
    <n v="0"/>
    <n v="1"/>
    <n v="9"/>
  </r>
  <r>
    <n v="648"/>
    <n v="101"/>
    <n v="1"/>
    <x v="1"/>
    <x v="0"/>
    <n v="1"/>
    <n v="2"/>
    <n v="1"/>
    <n v="1"/>
    <n v="1"/>
    <n v="0"/>
    <n v="0"/>
    <n v="0"/>
    <n v="9"/>
  </r>
  <r>
    <n v="649"/>
    <n v="101"/>
    <n v="1"/>
    <x v="1"/>
    <x v="1"/>
    <n v="1"/>
    <n v="3"/>
    <n v="2"/>
    <n v="0"/>
    <n v="1"/>
    <n v="1"/>
    <n v="0"/>
    <n v="1"/>
    <n v="10"/>
  </r>
  <r>
    <n v="650"/>
    <n v="101"/>
    <n v="1"/>
    <x v="1"/>
    <x v="2"/>
    <n v="1"/>
    <n v="1"/>
    <n v="0"/>
    <n v="0"/>
    <n v="1"/>
    <n v="1"/>
    <n v="0"/>
    <n v="2"/>
    <n v="9"/>
  </r>
  <r>
    <n v="651"/>
    <n v="101"/>
    <n v="2"/>
    <x v="0"/>
    <x v="1"/>
    <n v="1"/>
    <n v="2"/>
    <n v="1"/>
    <n v="0"/>
    <n v="2"/>
    <n v="1"/>
    <n v="0"/>
    <n v="1"/>
    <n v="9"/>
  </r>
  <r>
    <n v="652"/>
    <n v="101"/>
    <n v="1"/>
    <x v="1"/>
    <x v="0"/>
    <n v="1"/>
    <n v="1"/>
    <n v="1"/>
    <n v="1"/>
    <n v="1"/>
    <n v="1"/>
    <n v="0"/>
    <n v="1"/>
    <n v="8"/>
  </r>
  <r>
    <n v="653"/>
    <n v="101"/>
    <n v="1"/>
    <x v="1"/>
    <x v="1"/>
    <n v="1"/>
    <n v="1"/>
    <n v="1"/>
    <n v="1"/>
    <n v="2"/>
    <n v="1"/>
    <n v="0"/>
    <n v="0"/>
    <n v="9"/>
  </r>
  <r>
    <n v="654"/>
    <n v="101"/>
    <n v="1"/>
    <x v="1"/>
    <x v="0"/>
    <n v="1"/>
    <n v="3"/>
    <n v="1"/>
    <n v="0"/>
    <n v="2"/>
    <n v="0"/>
    <n v="0"/>
    <n v="0"/>
    <n v="8"/>
  </r>
  <r>
    <n v="655"/>
    <n v="101"/>
    <n v="1"/>
    <x v="1"/>
    <x v="1"/>
    <n v="1"/>
    <n v="3"/>
    <n v="2"/>
    <n v="0"/>
    <n v="2"/>
    <n v="1"/>
    <n v="1"/>
    <n v="0"/>
    <n v="9"/>
  </r>
  <r>
    <n v="656"/>
    <n v="101"/>
    <n v="2"/>
    <x v="0"/>
    <x v="2"/>
    <n v="1"/>
    <n v="3"/>
    <n v="2"/>
    <n v="0"/>
    <n v="2"/>
    <n v="0"/>
    <n v="0"/>
    <n v="1"/>
    <n v="7"/>
  </r>
  <r>
    <n v="657"/>
    <n v="101"/>
    <n v="2"/>
    <x v="0"/>
    <x v="1"/>
    <n v="1"/>
    <n v="1"/>
    <n v="0"/>
    <n v="0"/>
    <n v="2"/>
    <n v="0"/>
    <n v="0"/>
    <n v="1"/>
    <n v="8"/>
  </r>
  <r>
    <n v="658"/>
    <n v="101"/>
    <n v="1"/>
    <x v="1"/>
    <x v="1"/>
    <n v="1"/>
    <n v="3"/>
    <n v="2"/>
    <n v="2"/>
    <n v="2"/>
    <n v="1"/>
    <n v="1"/>
    <n v="1"/>
    <n v="9"/>
  </r>
  <r>
    <n v="659"/>
    <n v="101"/>
    <n v="1"/>
    <x v="1"/>
    <x v="1"/>
    <n v="1"/>
    <n v="99"/>
    <n v="2"/>
    <n v="2"/>
    <n v="1"/>
    <n v="0"/>
    <n v="1"/>
    <n v="0"/>
    <n v="8"/>
  </r>
  <r>
    <n v="660"/>
    <n v="101"/>
    <n v="1"/>
    <x v="1"/>
    <x v="2"/>
    <n v="1"/>
    <n v="3"/>
    <n v="0"/>
    <n v="0"/>
    <n v="2"/>
    <n v="0"/>
    <n v="0"/>
    <n v="0"/>
    <n v="7"/>
  </r>
  <r>
    <n v="661"/>
    <n v="101"/>
    <n v="1"/>
    <x v="1"/>
    <x v="5"/>
    <n v="1"/>
    <n v="1"/>
    <n v="2"/>
    <n v="0"/>
    <n v="1"/>
    <n v="0"/>
    <n v="0"/>
    <n v="0"/>
    <n v="8"/>
  </r>
  <r>
    <n v="662"/>
    <n v="101"/>
    <n v="1"/>
    <x v="1"/>
    <x v="5"/>
    <n v="1"/>
    <n v="3"/>
    <n v="0"/>
    <n v="0"/>
    <n v="2"/>
    <n v="0"/>
    <n v="0"/>
    <n v="0"/>
    <n v="8"/>
  </r>
  <r>
    <n v="663"/>
    <n v="101"/>
    <n v="2"/>
    <x v="0"/>
    <x v="5"/>
    <n v="1"/>
    <n v="99"/>
    <n v="1"/>
    <n v="1"/>
    <n v="2"/>
    <n v="0"/>
    <n v="0"/>
    <n v="0"/>
    <n v="10"/>
  </r>
  <r>
    <n v="664"/>
    <n v="101"/>
    <n v="1"/>
    <x v="1"/>
    <x v="0"/>
    <n v="1"/>
    <n v="1"/>
    <n v="0"/>
    <n v="0"/>
    <n v="2"/>
    <n v="0"/>
    <n v="0"/>
    <n v="0"/>
    <n v="8"/>
  </r>
  <r>
    <n v="665"/>
    <n v="101"/>
    <n v="2"/>
    <x v="0"/>
    <x v="0"/>
    <n v="1"/>
    <n v="2"/>
    <n v="1"/>
    <n v="0"/>
    <n v="2"/>
    <n v="0"/>
    <n v="1"/>
    <n v="1"/>
    <n v="8"/>
  </r>
  <r>
    <n v="666"/>
    <n v="101"/>
    <n v="1"/>
    <x v="1"/>
    <x v="0"/>
    <n v="1"/>
    <n v="3"/>
    <n v="0"/>
    <n v="0"/>
    <n v="2"/>
    <n v="0"/>
    <n v="1"/>
    <n v="0"/>
    <n v="10"/>
  </r>
  <r>
    <n v="667"/>
    <n v="101"/>
    <n v="2"/>
    <x v="0"/>
    <x v="1"/>
    <n v="1"/>
    <n v="2"/>
    <n v="0"/>
    <n v="0"/>
    <n v="2"/>
    <n v="0"/>
    <n v="0"/>
    <n v="0"/>
    <n v="7"/>
  </r>
  <r>
    <n v="668"/>
    <n v="101"/>
    <n v="2"/>
    <x v="0"/>
    <x v="5"/>
    <n v="1"/>
    <n v="1"/>
    <n v="0"/>
    <n v="0"/>
    <n v="2"/>
    <n v="0"/>
    <n v="1"/>
    <n v="1"/>
    <n v="9"/>
  </r>
  <r>
    <n v="669"/>
    <n v="101"/>
    <n v="1"/>
    <x v="1"/>
    <x v="7"/>
    <n v="1"/>
    <n v="1"/>
    <n v="2"/>
    <n v="1"/>
    <n v="1"/>
    <n v="0"/>
    <n v="0"/>
    <n v="0"/>
    <n v="9"/>
  </r>
  <r>
    <n v="670"/>
    <n v="101"/>
    <n v="1"/>
    <x v="1"/>
    <x v="1"/>
    <n v="1"/>
    <n v="3"/>
    <n v="0"/>
    <n v="0"/>
    <n v="2"/>
    <n v="0"/>
    <n v="0"/>
    <n v="0"/>
    <n v="10"/>
  </r>
  <r>
    <n v="671"/>
    <n v="101"/>
    <n v="2"/>
    <x v="0"/>
    <x v="2"/>
    <n v="1"/>
    <n v="2"/>
    <n v="0"/>
    <n v="0"/>
    <n v="2"/>
    <n v="0"/>
    <n v="0"/>
    <n v="0"/>
    <n v="9"/>
  </r>
  <r>
    <n v="672"/>
    <n v="101"/>
    <n v="2"/>
    <x v="0"/>
    <x v="5"/>
    <n v="1"/>
    <n v="1"/>
    <n v="2"/>
    <n v="1"/>
    <n v="2"/>
    <n v="0"/>
    <n v="0"/>
    <n v="0"/>
    <n v="8"/>
  </r>
  <r>
    <n v="673"/>
    <n v="101"/>
    <n v="1"/>
    <x v="1"/>
    <x v="3"/>
    <n v="1"/>
    <n v="2"/>
    <n v="2"/>
    <n v="1"/>
    <n v="1"/>
    <n v="0"/>
    <n v="0"/>
    <n v="1"/>
    <n v="9"/>
  </r>
  <r>
    <n v="674"/>
    <n v="101"/>
    <n v="1"/>
    <x v="1"/>
    <x v="1"/>
    <n v="1"/>
    <n v="99"/>
    <n v="1"/>
    <n v="1"/>
    <n v="2"/>
    <n v="0"/>
    <n v="0"/>
    <n v="1"/>
    <n v="10"/>
  </r>
  <r>
    <n v="675"/>
    <n v="101"/>
    <n v="2"/>
    <x v="0"/>
    <x v="5"/>
    <n v="1"/>
    <n v="3"/>
    <n v="0"/>
    <n v="0"/>
    <n v="2"/>
    <n v="0"/>
    <n v="0"/>
    <n v="0"/>
    <n v="8"/>
  </r>
  <r>
    <n v="676"/>
    <n v="101"/>
    <n v="2"/>
    <x v="0"/>
    <x v="0"/>
    <n v="1"/>
    <n v="1"/>
    <n v="1"/>
    <n v="0"/>
    <n v="2"/>
    <n v="0"/>
    <n v="0"/>
    <n v="2"/>
    <n v="9"/>
  </r>
  <r>
    <n v="677"/>
    <n v="101"/>
    <n v="1"/>
    <x v="1"/>
    <x v="0"/>
    <n v="1"/>
    <n v="2"/>
    <n v="1"/>
    <n v="0"/>
    <n v="2"/>
    <n v="0"/>
    <n v="0"/>
    <n v="99"/>
    <n v="8"/>
  </r>
  <r>
    <n v="678"/>
    <n v="101"/>
    <n v="2"/>
    <x v="0"/>
    <x v="5"/>
    <n v="1"/>
    <n v="3"/>
    <n v="0"/>
    <n v="0"/>
    <n v="2"/>
    <n v="0"/>
    <n v="0"/>
    <n v="1"/>
    <n v="8"/>
  </r>
  <r>
    <n v="679"/>
    <n v="101"/>
    <n v="1"/>
    <x v="1"/>
    <x v="3"/>
    <n v="1"/>
    <n v="1"/>
    <n v="1"/>
    <n v="0"/>
    <n v="2"/>
    <n v="0"/>
    <n v="0"/>
    <n v="1"/>
    <n v="9"/>
  </r>
  <r>
    <n v="680"/>
    <n v="101"/>
    <n v="2"/>
    <x v="0"/>
    <x v="2"/>
    <n v="1"/>
    <n v="3"/>
    <n v="0"/>
    <n v="0"/>
    <n v="2"/>
    <n v="0"/>
    <n v="2"/>
    <n v="2"/>
    <n v="10"/>
  </r>
  <r>
    <n v="681"/>
    <n v="101"/>
    <n v="2"/>
    <x v="0"/>
    <x v="1"/>
    <n v="1"/>
    <n v="3"/>
    <n v="0"/>
    <n v="0"/>
    <n v="2"/>
    <n v="0"/>
    <n v="0"/>
    <n v="0"/>
    <n v="9"/>
  </r>
  <r>
    <n v="682"/>
    <n v="101"/>
    <n v="2"/>
    <x v="0"/>
    <x v="1"/>
    <n v="1"/>
    <n v="99"/>
    <n v="2"/>
    <n v="1"/>
    <n v="2"/>
    <n v="1"/>
    <n v="0"/>
    <n v="1"/>
    <n v="8"/>
  </r>
  <r>
    <n v="683"/>
    <n v="101"/>
    <n v="1"/>
    <x v="1"/>
    <x v="0"/>
    <n v="1"/>
    <n v="2"/>
    <n v="0"/>
    <n v="0"/>
    <n v="2"/>
    <n v="0"/>
    <n v="0"/>
    <n v="0"/>
    <n v="8"/>
  </r>
  <r>
    <n v="684"/>
    <n v="101"/>
    <n v="1"/>
    <x v="1"/>
    <x v="5"/>
    <n v="1"/>
    <n v="2"/>
    <n v="0"/>
    <n v="0"/>
    <n v="2"/>
    <n v="0"/>
    <n v="0"/>
    <n v="0"/>
    <n v="9"/>
  </r>
  <r>
    <n v="685"/>
    <n v="101"/>
    <n v="2"/>
    <x v="0"/>
    <x v="5"/>
    <n v="1"/>
    <n v="1"/>
    <n v="0"/>
    <n v="0"/>
    <n v="2"/>
    <n v="0"/>
    <n v="0"/>
    <n v="2"/>
    <n v="9"/>
  </r>
  <r>
    <n v="686"/>
    <n v="101"/>
    <n v="2"/>
    <x v="0"/>
    <x v="0"/>
    <n v="1"/>
    <n v="2"/>
    <n v="1"/>
    <n v="0"/>
    <n v="2"/>
    <n v="0"/>
    <n v="0"/>
    <n v="0"/>
    <n v="10"/>
  </r>
  <r>
    <n v="687"/>
    <n v="101"/>
    <n v="2"/>
    <x v="0"/>
    <x v="6"/>
    <n v="0"/>
    <n v="2"/>
    <n v="2"/>
    <n v="0"/>
    <n v="2"/>
    <n v="0"/>
    <n v="0"/>
    <n v="0"/>
    <n v="7"/>
  </r>
  <r>
    <n v="688"/>
    <n v="101"/>
    <n v="1"/>
    <x v="1"/>
    <x v="7"/>
    <n v="0"/>
    <n v="2"/>
    <n v="1"/>
    <n v="0"/>
    <n v="2"/>
    <n v="0"/>
    <n v="0"/>
    <n v="0"/>
    <n v="8"/>
  </r>
  <r>
    <n v="689"/>
    <n v="101"/>
    <n v="1"/>
    <x v="1"/>
    <x v="0"/>
    <n v="1"/>
    <n v="2"/>
    <n v="2"/>
    <n v="1"/>
    <n v="2"/>
    <n v="1"/>
    <n v="0"/>
    <n v="0"/>
    <n v="8"/>
  </r>
  <r>
    <n v="690"/>
    <n v="101"/>
    <n v="1"/>
    <x v="1"/>
    <x v="2"/>
    <n v="1"/>
    <n v="1"/>
    <n v="1"/>
    <n v="1"/>
    <n v="1"/>
    <n v="1"/>
    <n v="1"/>
    <n v="1"/>
    <n v="8"/>
  </r>
  <r>
    <n v="691"/>
    <n v="101"/>
    <n v="2"/>
    <x v="0"/>
    <x v="2"/>
    <n v="1"/>
    <n v="3"/>
    <n v="0"/>
    <n v="0"/>
    <n v="2"/>
    <n v="0"/>
    <n v="0"/>
    <n v="0"/>
    <n v="9"/>
  </r>
  <r>
    <n v="692"/>
    <n v="101"/>
    <n v="2"/>
    <x v="0"/>
    <x v="2"/>
    <n v="1"/>
    <n v="3"/>
    <n v="1"/>
    <n v="1"/>
    <n v="2"/>
    <n v="0"/>
    <n v="0"/>
    <n v="1"/>
    <n v="10"/>
  </r>
  <r>
    <n v="693"/>
    <n v="101"/>
    <n v="1"/>
    <x v="1"/>
    <x v="7"/>
    <n v="0"/>
    <n v="1"/>
    <n v="1"/>
    <n v="1"/>
    <n v="2"/>
    <n v="0"/>
    <n v="0"/>
    <n v="0"/>
    <n v="8"/>
  </r>
  <r>
    <n v="694"/>
    <n v="101"/>
    <n v="1"/>
    <x v="1"/>
    <x v="0"/>
    <n v="1"/>
    <n v="2"/>
    <n v="1"/>
    <n v="0"/>
    <n v="1"/>
    <n v="0"/>
    <n v="1"/>
    <n v="0"/>
    <n v="9"/>
  </r>
  <r>
    <n v="695"/>
    <n v="101"/>
    <n v="1"/>
    <x v="1"/>
    <x v="3"/>
    <n v="1"/>
    <n v="1"/>
    <n v="2"/>
    <n v="2"/>
    <n v="2"/>
    <n v="1"/>
    <n v="2"/>
    <n v="2"/>
    <n v="8"/>
  </r>
  <r>
    <n v="696"/>
    <n v="101"/>
    <n v="1"/>
    <x v="1"/>
    <x v="1"/>
    <n v="1"/>
    <n v="2"/>
    <n v="2"/>
    <n v="1"/>
    <n v="2"/>
    <n v="1"/>
    <n v="1"/>
    <n v="1"/>
    <n v="10"/>
  </r>
  <r>
    <n v="697"/>
    <n v="101"/>
    <n v="1"/>
    <x v="1"/>
    <x v="1"/>
    <n v="1"/>
    <n v="2"/>
    <n v="2"/>
    <n v="2"/>
    <n v="1"/>
    <n v="1"/>
    <n v="0"/>
    <n v="0"/>
    <n v="8"/>
  </r>
  <r>
    <n v="698"/>
    <n v="101"/>
    <n v="2"/>
    <x v="0"/>
    <x v="5"/>
    <n v="1"/>
    <n v="1"/>
    <n v="0"/>
    <n v="0"/>
    <n v="2"/>
    <n v="0"/>
    <n v="0"/>
    <n v="0"/>
    <n v="8"/>
  </r>
  <r>
    <n v="699"/>
    <n v="101"/>
    <n v="1"/>
    <x v="1"/>
    <x v="5"/>
    <n v="1"/>
    <n v="1"/>
    <n v="0"/>
    <n v="0"/>
    <n v="2"/>
    <n v="0"/>
    <n v="0"/>
    <n v="1"/>
    <n v="10"/>
  </r>
  <r>
    <n v="700"/>
    <n v="101"/>
    <n v="2"/>
    <x v="0"/>
    <x v="2"/>
    <n v="1"/>
    <n v="3"/>
    <n v="1"/>
    <n v="0"/>
    <n v="2"/>
    <n v="0"/>
    <n v="0"/>
    <n v="0"/>
    <n v="9"/>
  </r>
  <r>
    <n v="701"/>
    <n v="101"/>
    <n v="1"/>
    <x v="1"/>
    <x v="0"/>
    <n v="1"/>
    <n v="3"/>
    <n v="0"/>
    <n v="1"/>
    <n v="2"/>
    <n v="0"/>
    <n v="0"/>
    <n v="0"/>
    <n v="9"/>
  </r>
  <r>
    <n v="702"/>
    <n v="101"/>
    <n v="2"/>
    <x v="0"/>
    <x v="2"/>
    <n v="1"/>
    <n v="3"/>
    <n v="0"/>
    <n v="0"/>
    <n v="2"/>
    <n v="0"/>
    <n v="0"/>
    <n v="0"/>
    <n v="7"/>
  </r>
  <r>
    <n v="703"/>
    <n v="101"/>
    <n v="2"/>
    <x v="0"/>
    <x v="0"/>
    <n v="1"/>
    <n v="3"/>
    <n v="1"/>
    <n v="0"/>
    <n v="2"/>
    <n v="0"/>
    <n v="0"/>
    <n v="1"/>
    <n v="8"/>
  </r>
  <r>
    <n v="704"/>
    <n v="101"/>
    <n v="1"/>
    <x v="1"/>
    <x v="5"/>
    <n v="1"/>
    <n v="1"/>
    <n v="0"/>
    <n v="0"/>
    <n v="2"/>
    <n v="0"/>
    <n v="0"/>
    <n v="1"/>
    <n v="9"/>
  </r>
  <r>
    <n v="705"/>
    <n v="101"/>
    <n v="2"/>
    <x v="0"/>
    <x v="1"/>
    <n v="1"/>
    <n v="99"/>
    <n v="0"/>
    <n v="0"/>
    <n v="2"/>
    <n v="0"/>
    <n v="0"/>
    <n v="0"/>
    <n v="9"/>
  </r>
  <r>
    <n v="706"/>
    <n v="101"/>
    <n v="2"/>
    <x v="0"/>
    <x v="5"/>
    <n v="1"/>
    <n v="2"/>
    <n v="1"/>
    <n v="1"/>
    <n v="2"/>
    <n v="1"/>
    <n v="1"/>
    <n v="0"/>
    <n v="99"/>
  </r>
  <r>
    <n v="707"/>
    <n v="101"/>
    <n v="1"/>
    <x v="1"/>
    <x v="0"/>
    <n v="1"/>
    <n v="2"/>
    <n v="0"/>
    <n v="1"/>
    <n v="1"/>
    <n v="0"/>
    <n v="0"/>
    <n v="1"/>
    <n v="9"/>
  </r>
  <r>
    <n v="708"/>
    <n v="101"/>
    <n v="2"/>
    <x v="0"/>
    <x v="2"/>
    <n v="1"/>
    <n v="2"/>
    <n v="0"/>
    <n v="0"/>
    <n v="2"/>
    <n v="0"/>
    <n v="0"/>
    <n v="2"/>
    <n v="8"/>
  </r>
  <r>
    <n v="709"/>
    <n v="101"/>
    <n v="1"/>
    <x v="1"/>
    <x v="2"/>
    <n v="1"/>
    <n v="3"/>
    <n v="0"/>
    <n v="0"/>
    <n v="2"/>
    <n v="0"/>
    <n v="2"/>
    <n v="99"/>
    <n v="8"/>
  </r>
  <r>
    <n v="710"/>
    <n v="101"/>
    <n v="2"/>
    <x v="0"/>
    <x v="5"/>
    <n v="1"/>
    <n v="1"/>
    <n v="1"/>
    <n v="0"/>
    <n v="2"/>
    <n v="0"/>
    <n v="0"/>
    <n v="0"/>
    <n v="9"/>
  </r>
  <r>
    <n v="711"/>
    <n v="101"/>
    <n v="1"/>
    <x v="1"/>
    <x v="5"/>
    <n v="1"/>
    <n v="1"/>
    <n v="1"/>
    <n v="0"/>
    <n v="1"/>
    <n v="0"/>
    <n v="0"/>
    <n v="0"/>
    <n v="8"/>
  </r>
  <r>
    <n v="712"/>
    <n v="101"/>
    <n v="1"/>
    <x v="1"/>
    <x v="3"/>
    <n v="1"/>
    <n v="1"/>
    <n v="2"/>
    <n v="2"/>
    <n v="2"/>
    <n v="1"/>
    <n v="1"/>
    <n v="1"/>
    <n v="99"/>
  </r>
  <r>
    <n v="713"/>
    <n v="101"/>
    <n v="2"/>
    <x v="0"/>
    <x v="2"/>
    <n v="1"/>
    <n v="1"/>
    <n v="1"/>
    <n v="0"/>
    <n v="2"/>
    <n v="0"/>
    <n v="0"/>
    <n v="0"/>
    <n v="10"/>
  </r>
  <r>
    <n v="714"/>
    <n v="101"/>
    <n v="1"/>
    <x v="1"/>
    <x v="2"/>
    <n v="1"/>
    <n v="3"/>
    <n v="1"/>
    <n v="0"/>
    <n v="2"/>
    <n v="0"/>
    <n v="0"/>
    <n v="1"/>
    <n v="8"/>
  </r>
  <r>
    <n v="715"/>
    <n v="101"/>
    <n v="1"/>
    <x v="1"/>
    <x v="0"/>
    <n v="1"/>
    <n v="3"/>
    <n v="2"/>
    <n v="0"/>
    <n v="2"/>
    <n v="0"/>
    <n v="0"/>
    <n v="1"/>
    <n v="8"/>
  </r>
  <r>
    <n v="716"/>
    <n v="101"/>
    <n v="1"/>
    <x v="1"/>
    <x v="2"/>
    <n v="1"/>
    <n v="2"/>
    <n v="0"/>
    <n v="0"/>
    <n v="2"/>
    <n v="0"/>
    <n v="0"/>
    <n v="0"/>
    <n v="9"/>
  </r>
  <r>
    <n v="717"/>
    <n v="101"/>
    <n v="2"/>
    <x v="0"/>
    <x v="0"/>
    <n v="1"/>
    <n v="1"/>
    <n v="2"/>
    <n v="0"/>
    <n v="1"/>
    <n v="0"/>
    <n v="0"/>
    <n v="1"/>
    <n v="9"/>
  </r>
  <r>
    <n v="718"/>
    <n v="101"/>
    <n v="1"/>
    <x v="1"/>
    <x v="0"/>
    <n v="1"/>
    <n v="3"/>
    <n v="0"/>
    <n v="0"/>
    <n v="2"/>
    <n v="0"/>
    <n v="0"/>
    <n v="1"/>
    <n v="8"/>
  </r>
  <r>
    <n v="719"/>
    <n v="101"/>
    <n v="2"/>
    <x v="0"/>
    <x v="0"/>
    <n v="1"/>
    <n v="1"/>
    <n v="2"/>
    <n v="0"/>
    <n v="2"/>
    <n v="0"/>
    <n v="1"/>
    <n v="1"/>
    <n v="8"/>
  </r>
  <r>
    <n v="720"/>
    <n v="101"/>
    <n v="1"/>
    <x v="1"/>
    <x v="2"/>
    <n v="1"/>
    <n v="3"/>
    <n v="2"/>
    <n v="2"/>
    <n v="0"/>
    <n v="1"/>
    <n v="1"/>
    <n v="0"/>
    <n v="10"/>
  </r>
  <r>
    <n v="721"/>
    <n v="101"/>
    <n v="2"/>
    <x v="0"/>
    <x v="0"/>
    <n v="1"/>
    <n v="99"/>
    <n v="0"/>
    <n v="0"/>
    <n v="2"/>
    <n v="0"/>
    <n v="0"/>
    <n v="0"/>
    <n v="8"/>
  </r>
  <r>
    <n v="722"/>
    <n v="101"/>
    <n v="1"/>
    <x v="1"/>
    <x v="0"/>
    <n v="1"/>
    <n v="1"/>
    <n v="1"/>
    <n v="0"/>
    <n v="1"/>
    <n v="0"/>
    <n v="0"/>
    <n v="1"/>
    <n v="9"/>
  </r>
  <r>
    <n v="723"/>
    <n v="101"/>
    <n v="1"/>
    <x v="1"/>
    <x v="2"/>
    <n v="1"/>
    <n v="3"/>
    <n v="1"/>
    <n v="0"/>
    <n v="1"/>
    <n v="0"/>
    <n v="0"/>
    <n v="0"/>
    <n v="10"/>
  </r>
  <r>
    <n v="724"/>
    <n v="101"/>
    <n v="1"/>
    <x v="1"/>
    <x v="0"/>
    <n v="1"/>
    <n v="2"/>
    <n v="2"/>
    <n v="1"/>
    <n v="1"/>
    <n v="1"/>
    <n v="0"/>
    <n v="2"/>
    <n v="8"/>
  </r>
  <r>
    <n v="725"/>
    <n v="101"/>
    <n v="2"/>
    <x v="0"/>
    <x v="1"/>
    <n v="1"/>
    <n v="1"/>
    <n v="0"/>
    <n v="0"/>
    <n v="2"/>
    <n v="0"/>
    <n v="0"/>
    <n v="0"/>
    <n v="9"/>
  </r>
  <r>
    <n v="726"/>
    <n v="101"/>
    <n v="1"/>
    <x v="1"/>
    <x v="5"/>
    <n v="1"/>
    <n v="1"/>
    <n v="1"/>
    <n v="1"/>
    <n v="2"/>
    <n v="0"/>
    <n v="0"/>
    <n v="0"/>
    <n v="8"/>
  </r>
  <r>
    <n v="727"/>
    <n v="101"/>
    <n v="2"/>
    <x v="0"/>
    <x v="5"/>
    <n v="1"/>
    <n v="1"/>
    <n v="0"/>
    <n v="0"/>
    <n v="1"/>
    <n v="0"/>
    <n v="1"/>
    <n v="0"/>
    <n v="8"/>
  </r>
  <r>
    <n v="728"/>
    <n v="101"/>
    <n v="1"/>
    <x v="1"/>
    <x v="0"/>
    <n v="1"/>
    <n v="3"/>
    <n v="2"/>
    <n v="2"/>
    <n v="1"/>
    <n v="2"/>
    <n v="2"/>
    <n v="1"/>
    <n v="8"/>
  </r>
  <r>
    <n v="729"/>
    <n v="101"/>
    <n v="1"/>
    <x v="1"/>
    <x v="2"/>
    <n v="1"/>
    <n v="1"/>
    <n v="1"/>
    <n v="0"/>
    <n v="2"/>
    <n v="0"/>
    <n v="0"/>
    <n v="0"/>
    <n v="9"/>
  </r>
  <r>
    <n v="730"/>
    <n v="101"/>
    <n v="1"/>
    <x v="1"/>
    <x v="3"/>
    <n v="1"/>
    <n v="99"/>
    <n v="99"/>
    <n v="99"/>
    <n v="99"/>
    <n v="99"/>
    <n v="99"/>
    <n v="99"/>
    <n v="8"/>
  </r>
  <r>
    <n v="731"/>
    <n v="101"/>
    <n v="1"/>
    <x v="1"/>
    <x v="7"/>
    <n v="0"/>
    <n v="2"/>
    <n v="2"/>
    <n v="1"/>
    <n v="0"/>
    <n v="0"/>
    <n v="0"/>
    <n v="0"/>
    <n v="9"/>
  </r>
  <r>
    <n v="732"/>
    <n v="101"/>
    <n v="2"/>
    <x v="0"/>
    <x v="0"/>
    <n v="1"/>
    <n v="3"/>
    <n v="0"/>
    <n v="0"/>
    <n v="2"/>
    <n v="0"/>
    <n v="0"/>
    <n v="0"/>
    <n v="8"/>
  </r>
  <r>
    <n v="733"/>
    <n v="101"/>
    <n v="2"/>
    <x v="0"/>
    <x v="5"/>
    <n v="1"/>
    <n v="2"/>
    <n v="0"/>
    <n v="1"/>
    <n v="2"/>
    <n v="0"/>
    <n v="1"/>
    <n v="0"/>
    <n v="8"/>
  </r>
  <r>
    <n v="734"/>
    <n v="101"/>
    <n v="2"/>
    <x v="0"/>
    <x v="2"/>
    <n v="1"/>
    <n v="1"/>
    <n v="0"/>
    <n v="0"/>
    <n v="2"/>
    <n v="99"/>
    <n v="1"/>
    <n v="0"/>
    <n v="9"/>
  </r>
  <r>
    <n v="735"/>
    <n v="101"/>
    <n v="2"/>
    <x v="0"/>
    <x v="5"/>
    <n v="1"/>
    <n v="2"/>
    <n v="1"/>
    <n v="0"/>
    <n v="2"/>
    <n v="0"/>
    <n v="2"/>
    <n v="1"/>
    <n v="99"/>
  </r>
  <r>
    <n v="736"/>
    <n v="101"/>
    <n v="1"/>
    <x v="1"/>
    <x v="5"/>
    <n v="1"/>
    <n v="2"/>
    <n v="1"/>
    <n v="0"/>
    <n v="2"/>
    <n v="0"/>
    <n v="0"/>
    <n v="1"/>
    <n v="8"/>
  </r>
  <r>
    <n v="737"/>
    <n v="101"/>
    <n v="2"/>
    <x v="0"/>
    <x v="2"/>
    <n v="1"/>
    <n v="99"/>
    <n v="0"/>
    <n v="0"/>
    <n v="2"/>
    <n v="0"/>
    <n v="0"/>
    <n v="0"/>
    <n v="8"/>
  </r>
  <r>
    <n v="738"/>
    <n v="101"/>
    <n v="1"/>
    <x v="1"/>
    <x v="5"/>
    <n v="1"/>
    <n v="3"/>
    <n v="0"/>
    <n v="0"/>
    <n v="2"/>
    <n v="0"/>
    <n v="0"/>
    <n v="1"/>
    <n v="8"/>
  </r>
  <r>
    <n v="739"/>
    <n v="101"/>
    <n v="2"/>
    <x v="0"/>
    <x v="2"/>
    <n v="1"/>
    <n v="3"/>
    <n v="0"/>
    <n v="0"/>
    <n v="0"/>
    <n v="0"/>
    <n v="0"/>
    <n v="0"/>
    <n v="8"/>
  </r>
  <r>
    <n v="740"/>
    <n v="101"/>
    <n v="2"/>
    <x v="0"/>
    <x v="3"/>
    <n v="1"/>
    <n v="2"/>
    <n v="1"/>
    <n v="0"/>
    <n v="2"/>
    <n v="0"/>
    <n v="0"/>
    <n v="1"/>
    <n v="7"/>
  </r>
  <r>
    <n v="741"/>
    <n v="101"/>
    <n v="1"/>
    <x v="1"/>
    <x v="0"/>
    <n v="1"/>
    <n v="2"/>
    <n v="2"/>
    <n v="2"/>
    <n v="0"/>
    <n v="2"/>
    <n v="0"/>
    <n v="1"/>
    <n v="8"/>
  </r>
  <r>
    <n v="742"/>
    <n v="101"/>
    <n v="1"/>
    <x v="1"/>
    <x v="2"/>
    <n v="1"/>
    <n v="2"/>
    <n v="1"/>
    <n v="0"/>
    <n v="2"/>
    <n v="1"/>
    <n v="0"/>
    <n v="99"/>
    <n v="9"/>
  </r>
  <r>
    <n v="743"/>
    <n v="101"/>
    <n v="1"/>
    <x v="1"/>
    <x v="1"/>
    <n v="1"/>
    <n v="3"/>
    <n v="0"/>
    <n v="0"/>
    <n v="2"/>
    <n v="0"/>
    <n v="0"/>
    <n v="1"/>
    <n v="10"/>
  </r>
  <r>
    <n v="744"/>
    <n v="101"/>
    <n v="2"/>
    <x v="0"/>
    <x v="2"/>
    <n v="1"/>
    <n v="2"/>
    <n v="0"/>
    <n v="0"/>
    <n v="2"/>
    <n v="0"/>
    <n v="2"/>
    <n v="1"/>
    <n v="10"/>
  </r>
  <r>
    <n v="745"/>
    <n v="101"/>
    <n v="2"/>
    <x v="0"/>
    <x v="8"/>
    <n v="1"/>
    <n v="1"/>
    <n v="1"/>
    <n v="0"/>
    <n v="2"/>
    <n v="0"/>
    <n v="1"/>
    <n v="2"/>
    <n v="9"/>
  </r>
  <r>
    <n v="746"/>
    <n v="101"/>
    <n v="1"/>
    <x v="1"/>
    <x v="2"/>
    <n v="1"/>
    <n v="2"/>
    <n v="2"/>
    <n v="0"/>
    <n v="2"/>
    <n v="0"/>
    <n v="0"/>
    <n v="0"/>
    <n v="8"/>
  </r>
  <r>
    <n v="747"/>
    <n v="101"/>
    <n v="1"/>
    <x v="1"/>
    <x v="5"/>
    <n v="1"/>
    <n v="1"/>
    <n v="1"/>
    <n v="1"/>
    <n v="2"/>
    <n v="0"/>
    <n v="1"/>
    <n v="1"/>
    <n v="9"/>
  </r>
  <r>
    <n v="748"/>
    <n v="101"/>
    <n v="2"/>
    <x v="0"/>
    <x v="5"/>
    <n v="1"/>
    <n v="99"/>
    <n v="0"/>
    <n v="0"/>
    <n v="2"/>
    <n v="0"/>
    <n v="0"/>
    <n v="0"/>
    <n v="8"/>
  </r>
  <r>
    <n v="749"/>
    <n v="101"/>
    <n v="2"/>
    <x v="0"/>
    <x v="1"/>
    <n v="1"/>
    <n v="2"/>
    <n v="2"/>
    <n v="0"/>
    <n v="1"/>
    <n v="0"/>
    <n v="0"/>
    <n v="0"/>
    <n v="8"/>
  </r>
  <r>
    <n v="750"/>
    <n v="101"/>
    <n v="1"/>
    <x v="1"/>
    <x v="3"/>
    <n v="1"/>
    <n v="99"/>
    <n v="1"/>
    <n v="2"/>
    <n v="1"/>
    <n v="1"/>
    <n v="1"/>
    <n v="1"/>
    <n v="8"/>
  </r>
  <r>
    <n v="751"/>
    <n v="101"/>
    <n v="2"/>
    <x v="0"/>
    <x v="5"/>
    <n v="1"/>
    <n v="3"/>
    <n v="1"/>
    <n v="1"/>
    <n v="2"/>
    <n v="0"/>
    <n v="1"/>
    <n v="2"/>
    <n v="10"/>
  </r>
  <r>
    <n v="752"/>
    <n v="101"/>
    <n v="1"/>
    <x v="1"/>
    <x v="4"/>
    <n v="0"/>
    <n v="1"/>
    <n v="1"/>
    <n v="0"/>
    <n v="2"/>
    <n v="0"/>
    <n v="0"/>
    <n v="1"/>
    <n v="8"/>
  </r>
  <r>
    <n v="753"/>
    <n v="101"/>
    <n v="1"/>
    <x v="1"/>
    <x v="2"/>
    <n v="1"/>
    <n v="99"/>
    <n v="1"/>
    <n v="2"/>
    <n v="1"/>
    <n v="1"/>
    <n v="0"/>
    <n v="1"/>
    <n v="9"/>
  </r>
  <r>
    <n v="754"/>
    <n v="101"/>
    <n v="2"/>
    <x v="0"/>
    <x v="6"/>
    <n v="0"/>
    <n v="2"/>
    <n v="0"/>
    <n v="0"/>
    <n v="2"/>
    <n v="0"/>
    <n v="99"/>
    <n v="0"/>
    <n v="9"/>
  </r>
  <r>
    <n v="755"/>
    <n v="101"/>
    <n v="1"/>
    <x v="1"/>
    <x v="1"/>
    <n v="1"/>
    <n v="2"/>
    <n v="0"/>
    <n v="0"/>
    <n v="0"/>
    <n v="0"/>
    <n v="2"/>
    <n v="0"/>
    <n v="8"/>
  </r>
  <r>
    <n v="756"/>
    <n v="101"/>
    <n v="2"/>
    <x v="0"/>
    <x v="1"/>
    <n v="1"/>
    <n v="2"/>
    <n v="1"/>
    <n v="0"/>
    <n v="0"/>
    <n v="99"/>
    <n v="0"/>
    <n v="1"/>
    <n v="8"/>
  </r>
  <r>
    <n v="757"/>
    <n v="101"/>
    <n v="2"/>
    <x v="0"/>
    <x v="1"/>
    <n v="1"/>
    <n v="3"/>
    <n v="0"/>
    <n v="0"/>
    <n v="0"/>
    <n v="0"/>
    <n v="0"/>
    <n v="0"/>
    <n v="10"/>
  </r>
  <r>
    <n v="758"/>
    <n v="101"/>
    <n v="2"/>
    <x v="0"/>
    <x v="0"/>
    <n v="1"/>
    <n v="3"/>
    <n v="0"/>
    <n v="0"/>
    <n v="2"/>
    <n v="0"/>
    <n v="0"/>
    <n v="0"/>
    <n v="8"/>
  </r>
  <r>
    <n v="759"/>
    <n v="101"/>
    <n v="1"/>
    <x v="1"/>
    <x v="5"/>
    <n v="1"/>
    <n v="1"/>
    <n v="0"/>
    <n v="0"/>
    <n v="2"/>
    <n v="0"/>
    <n v="0"/>
    <n v="0"/>
    <n v="8"/>
  </r>
  <r>
    <n v="760"/>
    <n v="101"/>
    <n v="2"/>
    <x v="0"/>
    <x v="2"/>
    <n v="1"/>
    <n v="2"/>
    <n v="0"/>
    <n v="0"/>
    <n v="2"/>
    <n v="0"/>
    <n v="0"/>
    <n v="0"/>
    <n v="10"/>
  </r>
  <r>
    <n v="761"/>
    <n v="101"/>
    <n v="2"/>
    <x v="0"/>
    <x v="2"/>
    <n v="1"/>
    <n v="1"/>
    <n v="0"/>
    <n v="0"/>
    <n v="2"/>
    <n v="1"/>
    <n v="1"/>
    <n v="1"/>
    <n v="10"/>
  </r>
  <r>
    <n v="762"/>
    <n v="101"/>
    <n v="1"/>
    <x v="1"/>
    <x v="2"/>
    <n v="1"/>
    <n v="2"/>
    <n v="2"/>
    <n v="1"/>
    <n v="2"/>
    <n v="1"/>
    <n v="1"/>
    <n v="2"/>
    <n v="8"/>
  </r>
  <r>
    <n v="763"/>
    <n v="101"/>
    <n v="2"/>
    <x v="0"/>
    <x v="5"/>
    <n v="1"/>
    <n v="2"/>
    <n v="2"/>
    <n v="1"/>
    <n v="1"/>
    <n v="0"/>
    <n v="0"/>
    <n v="0"/>
    <n v="8"/>
  </r>
  <r>
    <n v="764"/>
    <n v="101"/>
    <n v="1"/>
    <x v="1"/>
    <x v="5"/>
    <n v="1"/>
    <n v="2"/>
    <n v="1"/>
    <n v="0"/>
    <n v="2"/>
    <n v="0"/>
    <n v="0"/>
    <n v="2"/>
    <n v="9"/>
  </r>
  <r>
    <n v="765"/>
    <n v="101"/>
    <n v="1"/>
    <x v="1"/>
    <x v="5"/>
    <n v="1"/>
    <n v="99"/>
    <n v="1"/>
    <n v="0"/>
    <n v="2"/>
    <n v="0"/>
    <n v="0"/>
    <n v="1"/>
    <n v="99"/>
  </r>
  <r>
    <n v="766"/>
    <n v="101"/>
    <n v="1"/>
    <x v="1"/>
    <x v="2"/>
    <n v="1"/>
    <n v="1"/>
    <n v="0"/>
    <n v="0"/>
    <n v="2"/>
    <n v="0"/>
    <n v="0"/>
    <n v="2"/>
    <n v="8"/>
  </r>
  <r>
    <n v="767"/>
    <n v="101"/>
    <n v="2"/>
    <x v="0"/>
    <x v="5"/>
    <n v="1"/>
    <n v="2"/>
    <n v="2"/>
    <n v="0"/>
    <n v="1"/>
    <n v="0"/>
    <n v="0"/>
    <n v="0"/>
    <n v="10"/>
  </r>
  <r>
    <n v="768"/>
    <n v="101"/>
    <n v="1"/>
    <x v="1"/>
    <x v="0"/>
    <n v="1"/>
    <n v="2"/>
    <n v="1"/>
    <n v="0"/>
    <n v="2"/>
    <n v="1"/>
    <n v="1"/>
    <n v="0"/>
    <n v="9"/>
  </r>
  <r>
    <n v="769"/>
    <n v="101"/>
    <n v="2"/>
    <x v="0"/>
    <x v="2"/>
    <n v="1"/>
    <n v="2"/>
    <n v="0"/>
    <n v="0"/>
    <n v="2"/>
    <n v="0"/>
    <n v="0"/>
    <n v="0"/>
    <n v="8"/>
  </r>
  <r>
    <n v="770"/>
    <n v="101"/>
    <n v="1"/>
    <x v="1"/>
    <x v="1"/>
    <n v="1"/>
    <n v="3"/>
    <n v="0"/>
    <n v="1"/>
    <n v="0"/>
    <n v="0"/>
    <n v="0"/>
    <n v="1"/>
    <n v="8"/>
  </r>
  <r>
    <n v="771"/>
    <n v="101"/>
    <n v="2"/>
    <x v="0"/>
    <x v="2"/>
    <n v="1"/>
    <n v="2"/>
    <n v="1"/>
    <n v="0"/>
    <n v="2"/>
    <n v="0"/>
    <n v="0"/>
    <n v="0"/>
    <n v="9"/>
  </r>
  <r>
    <n v="772"/>
    <n v="101"/>
    <n v="1"/>
    <x v="1"/>
    <x v="5"/>
    <n v="1"/>
    <n v="1"/>
    <n v="2"/>
    <n v="0"/>
    <n v="2"/>
    <n v="1"/>
    <n v="1"/>
    <n v="1"/>
    <n v="9"/>
  </r>
  <r>
    <n v="773"/>
    <n v="101"/>
    <n v="2"/>
    <x v="0"/>
    <x v="5"/>
    <n v="1"/>
    <n v="1"/>
    <n v="1"/>
    <n v="0"/>
    <n v="2"/>
    <n v="0"/>
    <n v="0"/>
    <n v="0"/>
    <n v="10"/>
  </r>
  <r>
    <n v="774"/>
    <n v="101"/>
    <n v="2"/>
    <x v="0"/>
    <x v="5"/>
    <n v="1"/>
    <n v="1"/>
    <n v="0"/>
    <n v="0"/>
    <n v="2"/>
    <n v="0"/>
    <n v="0"/>
    <n v="1"/>
    <n v="8"/>
  </r>
  <r>
    <n v="775"/>
    <n v="101"/>
    <n v="1"/>
    <x v="1"/>
    <x v="0"/>
    <n v="1"/>
    <n v="2"/>
    <n v="1"/>
    <n v="0"/>
    <n v="2"/>
    <n v="1"/>
    <n v="0"/>
    <n v="1"/>
    <n v="8"/>
  </r>
  <r>
    <n v="776"/>
    <n v="101"/>
    <n v="2"/>
    <x v="0"/>
    <x v="2"/>
    <n v="1"/>
    <n v="99"/>
    <n v="0"/>
    <n v="0"/>
    <n v="2"/>
    <n v="0"/>
    <n v="0"/>
    <n v="0"/>
    <n v="9"/>
  </r>
  <r>
    <n v="777"/>
    <n v="101"/>
    <n v="2"/>
    <x v="0"/>
    <x v="0"/>
    <n v="1"/>
    <n v="2"/>
    <n v="2"/>
    <n v="2"/>
    <n v="1"/>
    <n v="1"/>
    <n v="1"/>
    <n v="99"/>
    <n v="7"/>
  </r>
  <r>
    <n v="778"/>
    <n v="101"/>
    <n v="2"/>
    <x v="0"/>
    <x v="5"/>
    <n v="1"/>
    <n v="2"/>
    <n v="2"/>
    <n v="2"/>
    <n v="2"/>
    <n v="1"/>
    <n v="0"/>
    <n v="1"/>
    <n v="9"/>
  </r>
  <r>
    <n v="779"/>
    <n v="101"/>
    <n v="1"/>
    <x v="1"/>
    <x v="2"/>
    <n v="1"/>
    <n v="2"/>
    <n v="2"/>
    <n v="1"/>
    <n v="1"/>
    <n v="0"/>
    <n v="0"/>
    <n v="0"/>
    <n v="10"/>
  </r>
  <r>
    <n v="780"/>
    <n v="101"/>
    <n v="2"/>
    <x v="0"/>
    <x v="0"/>
    <n v="1"/>
    <n v="3"/>
    <n v="2"/>
    <n v="1"/>
    <n v="0"/>
    <n v="0"/>
    <n v="0"/>
    <n v="0"/>
    <n v="9"/>
  </r>
  <r>
    <n v="781"/>
    <n v="101"/>
    <n v="1"/>
    <x v="1"/>
    <x v="5"/>
    <n v="1"/>
    <n v="1"/>
    <n v="2"/>
    <n v="2"/>
    <n v="0"/>
    <n v="1"/>
    <n v="1"/>
    <n v="0"/>
    <n v="8"/>
  </r>
  <r>
    <n v="782"/>
    <n v="101"/>
    <n v="2"/>
    <x v="0"/>
    <x v="5"/>
    <n v="1"/>
    <n v="99"/>
    <n v="0"/>
    <n v="0"/>
    <n v="2"/>
    <n v="0"/>
    <n v="0"/>
    <n v="0"/>
    <n v="8"/>
  </r>
  <r>
    <n v="783"/>
    <n v="101"/>
    <n v="2"/>
    <x v="0"/>
    <x v="5"/>
    <n v="1"/>
    <n v="1"/>
    <n v="1"/>
    <n v="0"/>
    <n v="2"/>
    <n v="0"/>
    <n v="0"/>
    <n v="0"/>
    <n v="9"/>
  </r>
  <r>
    <n v="784"/>
    <n v="101"/>
    <n v="1"/>
    <x v="1"/>
    <x v="3"/>
    <n v="1"/>
    <n v="99"/>
    <n v="0"/>
    <n v="1"/>
    <n v="2"/>
    <n v="1"/>
    <n v="1"/>
    <n v="1"/>
    <n v="7"/>
  </r>
  <r>
    <n v="785"/>
    <n v="101"/>
    <n v="1"/>
    <x v="1"/>
    <x v="1"/>
    <n v="1"/>
    <n v="2"/>
    <n v="1"/>
    <n v="0"/>
    <n v="2"/>
    <n v="0"/>
    <n v="0"/>
    <n v="1"/>
    <n v="8"/>
  </r>
  <r>
    <n v="786"/>
    <n v="101"/>
    <n v="2"/>
    <x v="0"/>
    <x v="5"/>
    <n v="1"/>
    <n v="3"/>
    <n v="1"/>
    <n v="0"/>
    <n v="1"/>
    <n v="0"/>
    <n v="0"/>
    <n v="1"/>
    <n v="99"/>
  </r>
  <r>
    <n v="787"/>
    <n v="101"/>
    <n v="1"/>
    <x v="1"/>
    <x v="3"/>
    <n v="1"/>
    <n v="99"/>
    <n v="0"/>
    <n v="0"/>
    <n v="2"/>
    <n v="0"/>
    <n v="1"/>
    <n v="1"/>
    <n v="8"/>
  </r>
  <r>
    <n v="788"/>
    <n v="101"/>
    <n v="1"/>
    <x v="1"/>
    <x v="7"/>
    <n v="0"/>
    <n v="2"/>
    <n v="2"/>
    <n v="0"/>
    <n v="0"/>
    <n v="0"/>
    <n v="0"/>
    <n v="0"/>
    <n v="10"/>
  </r>
  <r>
    <n v="789"/>
    <n v="101"/>
    <n v="2"/>
    <x v="0"/>
    <x v="2"/>
    <n v="1"/>
    <n v="2"/>
    <n v="0"/>
    <n v="0"/>
    <n v="2"/>
    <n v="0"/>
    <n v="0"/>
    <n v="0"/>
    <n v="9"/>
  </r>
  <r>
    <n v="790"/>
    <n v="101"/>
    <n v="1"/>
    <x v="1"/>
    <x v="1"/>
    <n v="1"/>
    <n v="2"/>
    <n v="2"/>
    <n v="1"/>
    <n v="0"/>
    <n v="1"/>
    <n v="0"/>
    <n v="0"/>
    <n v="99"/>
  </r>
  <r>
    <n v="791"/>
    <n v="101"/>
    <n v="1"/>
    <x v="1"/>
    <x v="1"/>
    <n v="1"/>
    <n v="3"/>
    <n v="2"/>
    <n v="2"/>
    <n v="1"/>
    <n v="0"/>
    <n v="0"/>
    <n v="1"/>
    <n v="8"/>
  </r>
  <r>
    <n v="792"/>
    <n v="101"/>
    <n v="1"/>
    <x v="1"/>
    <x v="0"/>
    <n v="1"/>
    <n v="2"/>
    <n v="1"/>
    <n v="1"/>
    <n v="1"/>
    <n v="0"/>
    <n v="1"/>
    <n v="1"/>
    <n v="8"/>
  </r>
  <r>
    <n v="793"/>
    <n v="101"/>
    <n v="1"/>
    <x v="1"/>
    <x v="2"/>
    <n v="1"/>
    <n v="1"/>
    <n v="0"/>
    <n v="0"/>
    <n v="2"/>
    <n v="0"/>
    <n v="0"/>
    <n v="0"/>
    <n v="8"/>
  </r>
  <r>
    <n v="794"/>
    <n v="101"/>
    <n v="1"/>
    <x v="1"/>
    <x v="1"/>
    <n v="1"/>
    <n v="1"/>
    <n v="1"/>
    <n v="1"/>
    <n v="1"/>
    <n v="0"/>
    <n v="1"/>
    <n v="0"/>
    <n v="8"/>
  </r>
  <r>
    <n v="795"/>
    <n v="101"/>
    <n v="1"/>
    <x v="1"/>
    <x v="0"/>
    <n v="1"/>
    <n v="1"/>
    <n v="0"/>
    <n v="0"/>
    <n v="2"/>
    <n v="0"/>
    <n v="0"/>
    <n v="0"/>
    <n v="10"/>
  </r>
  <r>
    <n v="796"/>
    <n v="101"/>
    <n v="2"/>
    <x v="0"/>
    <x v="1"/>
    <n v="1"/>
    <n v="99"/>
    <n v="0"/>
    <n v="0"/>
    <n v="2"/>
    <n v="0"/>
    <n v="1"/>
    <n v="0"/>
    <n v="8"/>
  </r>
  <r>
    <n v="797"/>
    <n v="101"/>
    <n v="2"/>
    <x v="0"/>
    <x v="0"/>
    <n v="1"/>
    <n v="3"/>
    <n v="0"/>
    <n v="0"/>
    <n v="2"/>
    <n v="0"/>
    <n v="1"/>
    <n v="1"/>
    <n v="8"/>
  </r>
  <r>
    <n v="798"/>
    <n v="101"/>
    <n v="1"/>
    <x v="1"/>
    <x v="2"/>
    <n v="1"/>
    <n v="2"/>
    <n v="1"/>
    <n v="0"/>
    <n v="2"/>
    <n v="0"/>
    <n v="0"/>
    <n v="1"/>
    <n v="8"/>
  </r>
  <r>
    <n v="799"/>
    <n v="101"/>
    <n v="1"/>
    <x v="1"/>
    <x v="5"/>
    <n v="1"/>
    <n v="3"/>
    <n v="1"/>
    <n v="1"/>
    <n v="2"/>
    <n v="0"/>
    <n v="1"/>
    <n v="1"/>
    <n v="9"/>
  </r>
  <r>
    <n v="800"/>
    <n v="101"/>
    <n v="1"/>
    <x v="1"/>
    <x v="1"/>
    <n v="1"/>
    <n v="99"/>
    <n v="2"/>
    <n v="0"/>
    <n v="1"/>
    <n v="0"/>
    <n v="1"/>
    <n v="1"/>
    <n v="9"/>
  </r>
  <r>
    <n v="801"/>
    <n v="101"/>
    <n v="1"/>
    <x v="1"/>
    <x v="5"/>
    <n v="1"/>
    <n v="99"/>
    <n v="1"/>
    <n v="2"/>
    <n v="1"/>
    <n v="0"/>
    <n v="0"/>
    <n v="2"/>
    <n v="9"/>
  </r>
  <r>
    <n v="802"/>
    <n v="101"/>
    <n v="2"/>
    <x v="0"/>
    <x v="5"/>
    <n v="1"/>
    <n v="2"/>
    <n v="0"/>
    <n v="0"/>
    <n v="2"/>
    <n v="0"/>
    <n v="2"/>
    <n v="0"/>
    <n v="10"/>
  </r>
  <r>
    <n v="803"/>
    <n v="101"/>
    <n v="2"/>
    <x v="0"/>
    <x v="4"/>
    <n v="0"/>
    <n v="3"/>
    <n v="0"/>
    <n v="0"/>
    <n v="2"/>
    <n v="0"/>
    <n v="0"/>
    <n v="0"/>
    <n v="9"/>
  </r>
  <r>
    <n v="804"/>
    <n v="101"/>
    <n v="2"/>
    <x v="0"/>
    <x v="0"/>
    <n v="1"/>
    <n v="3"/>
    <n v="0"/>
    <n v="0"/>
    <n v="2"/>
    <n v="0"/>
    <n v="0"/>
    <n v="2"/>
    <n v="8"/>
  </r>
  <r>
    <n v="805"/>
    <n v="101"/>
    <n v="2"/>
    <x v="0"/>
    <x v="5"/>
    <n v="1"/>
    <n v="2"/>
    <n v="0"/>
    <n v="0"/>
    <n v="2"/>
    <n v="0"/>
    <n v="1"/>
    <n v="1"/>
    <n v="9"/>
  </r>
  <r>
    <n v="806"/>
    <n v="101"/>
    <n v="1"/>
    <x v="1"/>
    <x v="5"/>
    <n v="1"/>
    <n v="1"/>
    <n v="0"/>
    <n v="0"/>
    <n v="2"/>
    <n v="0"/>
    <n v="0"/>
    <n v="0"/>
    <n v="8"/>
  </r>
  <r>
    <n v="807"/>
    <n v="101"/>
    <n v="2"/>
    <x v="0"/>
    <x v="2"/>
    <n v="1"/>
    <n v="99"/>
    <n v="99"/>
    <n v="99"/>
    <n v="99"/>
    <n v="99"/>
    <n v="99"/>
    <n v="99"/>
    <n v="8"/>
  </r>
  <r>
    <n v="808"/>
    <n v="101"/>
    <n v="1"/>
    <x v="1"/>
    <x v="3"/>
    <n v="1"/>
    <n v="99"/>
    <n v="0"/>
    <n v="0"/>
    <n v="2"/>
    <n v="0"/>
    <n v="0"/>
    <n v="0"/>
    <n v="10"/>
  </r>
  <r>
    <n v="809"/>
    <n v="101"/>
    <n v="2"/>
    <x v="0"/>
    <x v="1"/>
    <n v="1"/>
    <n v="2"/>
    <n v="2"/>
    <n v="1"/>
    <n v="1"/>
    <n v="0"/>
    <n v="0"/>
    <n v="0"/>
    <n v="99"/>
  </r>
  <r>
    <n v="810"/>
    <n v="101"/>
    <n v="1"/>
    <x v="1"/>
    <x v="0"/>
    <n v="1"/>
    <n v="3"/>
    <n v="0"/>
    <n v="0"/>
    <n v="2"/>
    <n v="0"/>
    <n v="0"/>
    <n v="0"/>
    <n v="8"/>
  </r>
  <r>
    <n v="811"/>
    <n v="101"/>
    <n v="2"/>
    <x v="0"/>
    <x v="2"/>
    <n v="1"/>
    <n v="2"/>
    <n v="1"/>
    <n v="0"/>
    <n v="2"/>
    <n v="0"/>
    <n v="0"/>
    <n v="0"/>
    <n v="10"/>
  </r>
  <r>
    <n v="812"/>
    <n v="101"/>
    <n v="1"/>
    <x v="1"/>
    <x v="5"/>
    <n v="1"/>
    <n v="2"/>
    <n v="0"/>
    <n v="0"/>
    <n v="2"/>
    <n v="0"/>
    <n v="0"/>
    <n v="0"/>
    <n v="9"/>
  </r>
  <r>
    <n v="813"/>
    <n v="101"/>
    <n v="2"/>
    <x v="0"/>
    <x v="1"/>
    <n v="1"/>
    <n v="2"/>
    <n v="1"/>
    <n v="0"/>
    <n v="2"/>
    <n v="0"/>
    <n v="0"/>
    <n v="1"/>
    <n v="10"/>
  </r>
  <r>
    <n v="814"/>
    <n v="101"/>
    <n v="1"/>
    <x v="1"/>
    <x v="2"/>
    <n v="1"/>
    <n v="3"/>
    <n v="0"/>
    <n v="0"/>
    <n v="2"/>
    <n v="0"/>
    <n v="0"/>
    <n v="0"/>
    <n v="9"/>
  </r>
  <r>
    <n v="815"/>
    <n v="101"/>
    <n v="2"/>
    <x v="0"/>
    <x v="3"/>
    <n v="1"/>
    <n v="99"/>
    <n v="0"/>
    <n v="0"/>
    <n v="2"/>
    <n v="0"/>
    <n v="0"/>
    <n v="1"/>
    <n v="7"/>
  </r>
  <r>
    <n v="816"/>
    <n v="101"/>
    <n v="2"/>
    <x v="0"/>
    <x v="1"/>
    <n v="1"/>
    <n v="2"/>
    <n v="2"/>
    <n v="1"/>
    <n v="2"/>
    <n v="0"/>
    <n v="0"/>
    <n v="1"/>
    <n v="7"/>
  </r>
  <r>
    <n v="817"/>
    <n v="101"/>
    <n v="1"/>
    <x v="1"/>
    <x v="0"/>
    <n v="1"/>
    <n v="2"/>
    <n v="1"/>
    <n v="1"/>
    <n v="1"/>
    <n v="0"/>
    <n v="0"/>
    <n v="1"/>
    <n v="9"/>
  </r>
  <r>
    <n v="818"/>
    <n v="101"/>
    <n v="1"/>
    <x v="1"/>
    <x v="1"/>
    <n v="1"/>
    <n v="2"/>
    <n v="1"/>
    <n v="1"/>
    <n v="2"/>
    <n v="1"/>
    <n v="1"/>
    <n v="1"/>
    <n v="9"/>
  </r>
  <r>
    <n v="819"/>
    <n v="101"/>
    <n v="1"/>
    <x v="1"/>
    <x v="5"/>
    <n v="1"/>
    <n v="3"/>
    <n v="0"/>
    <n v="0"/>
    <n v="2"/>
    <n v="0"/>
    <n v="0"/>
    <n v="0"/>
    <n v="8"/>
  </r>
  <r>
    <n v="820"/>
    <n v="101"/>
    <n v="2"/>
    <x v="0"/>
    <x v="1"/>
    <n v="1"/>
    <n v="3"/>
    <n v="1"/>
    <n v="0"/>
    <n v="2"/>
    <n v="0"/>
    <n v="0"/>
    <n v="0"/>
    <n v="8"/>
  </r>
  <r>
    <n v="821"/>
    <n v="101"/>
    <n v="2"/>
    <x v="0"/>
    <x v="5"/>
    <n v="1"/>
    <n v="3"/>
    <n v="0"/>
    <n v="0"/>
    <n v="2"/>
    <n v="0"/>
    <n v="0"/>
    <n v="0"/>
    <n v="8"/>
  </r>
  <r>
    <n v="822"/>
    <n v="101"/>
    <n v="1"/>
    <x v="1"/>
    <x v="1"/>
    <n v="1"/>
    <n v="2"/>
    <n v="2"/>
    <n v="2"/>
    <n v="1"/>
    <n v="1"/>
    <n v="0"/>
    <n v="0"/>
    <n v="7"/>
  </r>
  <r>
    <n v="823"/>
    <n v="101"/>
    <n v="2"/>
    <x v="0"/>
    <x v="1"/>
    <n v="1"/>
    <n v="1"/>
    <n v="0"/>
    <n v="0"/>
    <n v="2"/>
    <n v="0"/>
    <n v="0"/>
    <n v="0"/>
    <n v="8"/>
  </r>
  <r>
    <n v="824"/>
    <n v="101"/>
    <n v="2"/>
    <x v="0"/>
    <x v="0"/>
    <n v="1"/>
    <n v="2"/>
    <n v="1"/>
    <n v="1"/>
    <n v="0"/>
    <n v="0"/>
    <n v="1"/>
    <n v="1"/>
    <n v="7"/>
  </r>
  <r>
    <n v="825"/>
    <n v="101"/>
    <n v="2"/>
    <x v="0"/>
    <x v="0"/>
    <n v="1"/>
    <n v="3"/>
    <n v="0"/>
    <n v="0"/>
    <n v="2"/>
    <n v="0"/>
    <n v="0"/>
    <n v="0"/>
    <n v="7"/>
  </r>
  <r>
    <n v="826"/>
    <n v="101"/>
    <n v="1"/>
    <x v="1"/>
    <x v="5"/>
    <n v="1"/>
    <n v="3"/>
    <n v="1"/>
    <n v="0"/>
    <n v="2"/>
    <n v="0"/>
    <n v="1"/>
    <n v="0"/>
    <n v="7"/>
  </r>
  <r>
    <n v="827"/>
    <n v="101"/>
    <n v="1"/>
    <x v="1"/>
    <x v="1"/>
    <n v="1"/>
    <n v="1"/>
    <n v="1"/>
    <n v="1"/>
    <n v="2"/>
    <n v="1"/>
    <n v="1"/>
    <n v="1"/>
    <n v="8"/>
  </r>
  <r>
    <n v="828"/>
    <n v="101"/>
    <n v="1"/>
    <x v="1"/>
    <x v="6"/>
    <n v="0"/>
    <n v="2"/>
    <n v="0"/>
    <n v="0"/>
    <n v="2"/>
    <n v="0"/>
    <n v="0"/>
    <n v="0"/>
    <n v="7"/>
  </r>
  <r>
    <n v="829"/>
    <n v="101"/>
    <n v="1"/>
    <x v="1"/>
    <x v="5"/>
    <n v="1"/>
    <n v="1"/>
    <n v="1"/>
    <n v="0"/>
    <n v="2"/>
    <n v="1"/>
    <n v="0"/>
    <n v="1"/>
    <n v="7"/>
  </r>
  <r>
    <n v="830"/>
    <n v="101"/>
    <n v="1"/>
    <x v="1"/>
    <x v="0"/>
    <n v="1"/>
    <n v="2"/>
    <n v="2"/>
    <n v="0"/>
    <n v="2"/>
    <n v="0"/>
    <n v="0"/>
    <n v="0"/>
    <n v="9"/>
  </r>
  <r>
    <n v="831"/>
    <n v="101"/>
    <n v="2"/>
    <x v="0"/>
    <x v="2"/>
    <n v="1"/>
    <n v="2"/>
    <n v="2"/>
    <n v="0"/>
    <n v="2"/>
    <n v="0"/>
    <n v="1"/>
    <n v="1"/>
    <n v="8"/>
  </r>
  <r>
    <n v="832"/>
    <n v="101"/>
    <n v="1"/>
    <x v="1"/>
    <x v="2"/>
    <n v="1"/>
    <n v="3"/>
    <n v="0"/>
    <n v="1"/>
    <n v="2"/>
    <n v="0"/>
    <n v="0"/>
    <n v="0"/>
    <n v="7"/>
  </r>
  <r>
    <n v="833"/>
    <n v="101"/>
    <n v="1"/>
    <x v="1"/>
    <x v="5"/>
    <n v="1"/>
    <n v="1"/>
    <n v="0"/>
    <n v="0"/>
    <n v="2"/>
    <n v="0"/>
    <n v="1"/>
    <n v="1"/>
    <n v="8"/>
  </r>
  <r>
    <m/>
    <m/>
    <m/>
    <x v="3"/>
    <x v="9"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2207612-C1C4-1F4F-8878-AC331C2FA73C}" name="Tabela Dinâmica4" cacheId="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v22" colHeaderCaption="horas dormidas ">
  <location ref="A3:M9" firstHeaderRow="1" firstDataRow="3" firstDataCol="1"/>
  <pivotFields count="14">
    <pivotField showAll="0">
      <items count="834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x="524"/>
        <item x="525"/>
        <item x="526"/>
        <item x="527"/>
        <item x="528"/>
        <item x="529"/>
        <item x="530"/>
        <item x="531"/>
        <item x="532"/>
        <item x="533"/>
        <item x="534"/>
        <item x="535"/>
        <item x="536"/>
        <item x="537"/>
        <item x="538"/>
        <item x="539"/>
        <item x="540"/>
        <item x="541"/>
        <item x="542"/>
        <item x="543"/>
        <item x="544"/>
        <item x="545"/>
        <item x="546"/>
        <item x="547"/>
        <item x="548"/>
        <item x="549"/>
        <item x="550"/>
        <item x="551"/>
        <item x="552"/>
        <item x="553"/>
        <item x="554"/>
        <item x="555"/>
        <item x="556"/>
        <item x="557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6"/>
        <item x="577"/>
        <item x="578"/>
        <item x="579"/>
        <item x="580"/>
        <item x="581"/>
        <item x="582"/>
        <item x="583"/>
        <item x="584"/>
        <item x="585"/>
        <item x="586"/>
        <item x="587"/>
        <item x="588"/>
        <item x="589"/>
        <item x="590"/>
        <item x="591"/>
        <item x="592"/>
        <item x="593"/>
        <item x="594"/>
        <item x="595"/>
        <item x="596"/>
        <item x="597"/>
        <item x="598"/>
        <item x="599"/>
        <item x="600"/>
        <item x="601"/>
        <item x="602"/>
        <item x="603"/>
        <item x="604"/>
        <item x="605"/>
        <item x="606"/>
        <item x="607"/>
        <item x="608"/>
        <item x="609"/>
        <item x="610"/>
        <item x="611"/>
        <item x="612"/>
        <item x="613"/>
        <item x="614"/>
        <item x="615"/>
        <item x="616"/>
        <item x="617"/>
        <item x="618"/>
        <item x="619"/>
        <item x="620"/>
        <item x="621"/>
        <item x="622"/>
        <item x="623"/>
        <item x="624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39"/>
        <item x="640"/>
        <item x="641"/>
        <item x="642"/>
        <item x="643"/>
        <item x="644"/>
        <item x="645"/>
        <item x="646"/>
        <item x="647"/>
        <item x="648"/>
        <item x="649"/>
        <item x="650"/>
        <item x="651"/>
        <item x="652"/>
        <item x="653"/>
        <item x="654"/>
        <item x="655"/>
        <item x="656"/>
        <item x="657"/>
        <item x="658"/>
        <item x="659"/>
        <item x="660"/>
        <item x="661"/>
        <item x="662"/>
        <item x="663"/>
        <item x="664"/>
        <item x="665"/>
        <item x="666"/>
        <item x="667"/>
        <item x="668"/>
        <item x="669"/>
        <item x="670"/>
        <item x="671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705"/>
        <item x="706"/>
        <item x="707"/>
        <item x="708"/>
        <item x="709"/>
        <item x="710"/>
        <item x="711"/>
        <item x="712"/>
        <item x="713"/>
        <item x="714"/>
        <item x="715"/>
        <item x="716"/>
        <item x="717"/>
        <item x="718"/>
        <item x="719"/>
        <item x="720"/>
        <item x="721"/>
        <item x="722"/>
        <item x="723"/>
        <item x="724"/>
        <item x="725"/>
        <item x="726"/>
        <item x="727"/>
        <item x="728"/>
        <item x="729"/>
        <item x="730"/>
        <item x="731"/>
        <item x="732"/>
        <item x="733"/>
        <item x="734"/>
        <item x="735"/>
        <item x="736"/>
        <item x="737"/>
        <item x="738"/>
        <item x="739"/>
        <item x="740"/>
        <item x="741"/>
        <item x="742"/>
        <item x="743"/>
        <item x="744"/>
        <item x="745"/>
        <item x="746"/>
        <item x="747"/>
        <item x="748"/>
        <item x="749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x="766"/>
        <item x="767"/>
        <item x="768"/>
        <item x="769"/>
        <item x="770"/>
        <item x="771"/>
        <item x="772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805"/>
        <item x="806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3"/>
        <item x="824"/>
        <item x="825"/>
        <item x="826"/>
        <item x="827"/>
        <item x="828"/>
        <item x="829"/>
        <item x="830"/>
        <item x="831"/>
        <item x="832"/>
        <item t="default"/>
      </items>
    </pivotField>
    <pivotField showAll="0"/>
    <pivotField showAll="0"/>
    <pivotField showAll="0">
      <items count="4">
        <item x="0"/>
        <item x="1"/>
        <item x="2"/>
        <item t="default"/>
      </items>
    </pivotField>
    <pivotField showAll="0">
      <items count="10">
        <item x="6"/>
        <item x="4"/>
        <item x="7"/>
        <item x="1"/>
        <item x="0"/>
        <item x="2"/>
        <item x="5"/>
        <item x="3"/>
        <item x="8"/>
        <item t="default"/>
      </items>
    </pivotField>
    <pivotField showAll="0"/>
    <pivotField showAll="0"/>
    <pivotField axis="axisRow" showAll="0">
      <items count="5">
        <item x="0"/>
        <item x="1"/>
        <item x="2"/>
        <item h="1" x="3"/>
        <item t="default"/>
      </items>
    </pivotField>
    <pivotField showAll="0"/>
    <pivotField showAll="0">
      <items count="5">
        <item x="1"/>
        <item x="2"/>
        <item x="0"/>
        <item x="3"/>
        <item t="default"/>
      </items>
    </pivotField>
    <pivotField showAll="0"/>
    <pivotField showAll="0">
      <items count="5">
        <item x="1"/>
        <item x="0"/>
        <item x="2"/>
        <item x="3"/>
        <item t="default"/>
      </items>
    </pivotField>
    <pivotField showAll="0"/>
    <pivotField axis="axisCol" dataField="1" showAll="0">
      <items count="7">
        <item x="3"/>
        <item x="2"/>
        <item x="1"/>
        <item x="0"/>
        <item x="5"/>
        <item h="1" x="4"/>
        <item t="default"/>
      </items>
    </pivotField>
  </pivotFields>
  <rowFields count="1">
    <field x="7"/>
  </rowFields>
  <rowItems count="4">
    <i>
      <x/>
    </i>
    <i>
      <x v="1"/>
    </i>
    <i>
      <x v="2"/>
    </i>
    <i t="grand">
      <x/>
    </i>
  </rowItems>
  <colFields count="2">
    <field x="13"/>
    <field x="-2"/>
  </colFields>
  <colItems count="12">
    <i>
      <x/>
      <x/>
    </i>
    <i r="1" i="1">
      <x v="1"/>
    </i>
    <i>
      <x v="1"/>
      <x/>
    </i>
    <i r="1" i="1">
      <x v="1"/>
    </i>
    <i>
      <x v="2"/>
      <x/>
    </i>
    <i r="1" i="1">
      <x v="1"/>
    </i>
    <i>
      <x v="3"/>
      <x/>
    </i>
    <i r="1" i="1">
      <x v="1"/>
    </i>
    <i>
      <x v="4"/>
      <x/>
    </i>
    <i r="1" i="1">
      <x v="1"/>
    </i>
    <i t="grand">
      <x/>
    </i>
    <i t="grand" i="1">
      <x/>
    </i>
  </colItems>
  <dataFields count="2">
    <dataField name="Contagem de Sono_Q556" fld="13" subtotal="count" baseField="0" baseItem="0"/>
    <dataField name="%" fld="13" showDataAs="percentOfCol" baseField="0" baseItem="0" numFmtId="164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5097B19-4C31-724D-A9F4-004E4EC1D31B}" name="Tabela Dinâmica6" cacheId="5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 rowHeaderCaption="Idade">
  <location ref="A3:C13" firstHeaderRow="0" firstDataRow="1" firstDataCol="1"/>
  <pivotFields count="14">
    <pivotField showAll="0"/>
    <pivotField showAll="0"/>
    <pivotField showAll="0"/>
    <pivotField showAll="0">
      <items count="5">
        <item x="0"/>
        <item x="1"/>
        <item x="2"/>
        <item x="3"/>
        <item t="default"/>
      </items>
    </pivotField>
    <pivotField axis="axisRow" dataField="1" showAll="0">
      <items count="11">
        <item x="6"/>
        <item x="4"/>
        <item x="7"/>
        <item x="1"/>
        <item x="0"/>
        <item x="2"/>
        <item x="5"/>
        <item x="3"/>
        <item x="8"/>
        <item h="1" x="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10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 t="grand">
      <x/>
    </i>
  </rowItems>
  <colFields count="1">
    <field x="-2"/>
  </colFields>
  <colItems count="2">
    <i>
      <x/>
    </i>
    <i i="1">
      <x v="1"/>
    </i>
  </colItems>
  <dataFields count="2">
    <dataField name="freq.absoluta" fld="4" subtotal="count" baseField="0" baseItem="0"/>
    <dataField name="freq.relativa%" fld="4" showDataAs="percentOfTotal" baseField="0" baseItem="0" numFmtId="1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9E90B80-B49D-DA4E-BE27-2069866406D3}" name="Tabela6" displayName="Tabela6" ref="H11:J15" headerRowCount="0" totalsRowShown="0">
  <tableColumns count="3">
    <tableColumn id="1" xr3:uid="{57AEF3A6-09D9-9C4C-AC1C-11CB2F8603E0}" name="Coluna1"/>
    <tableColumn id="2" xr3:uid="{697978DF-4C1C-7E4D-9DEE-5D6589951DB5}" name="Coluna2"/>
    <tableColumn id="3" xr3:uid="{1019C5D2-2379-F347-8BBF-ED49A52B4824}" name="Coluna3" headerRowDxfId="1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B834"/>
  <sheetViews>
    <sheetView zoomScale="125" zoomScaleNormal="162" workbookViewId="0">
      <pane ySplit="1" topLeftCell="A18" activePane="bottomLeft" state="frozen"/>
      <selection pane="bottomLeft" activeCell="Q19" sqref="Q19"/>
    </sheetView>
  </sheetViews>
  <sheetFormatPr baseColWidth="10" defaultColWidth="8.83203125" defaultRowHeight="15" x14ac:dyDescent="0.2"/>
  <cols>
    <col min="1" max="1" width="9.83203125" customWidth="1"/>
    <col min="3" max="3" width="9.83203125" customWidth="1"/>
    <col min="4" max="4" width="12.33203125" customWidth="1"/>
    <col min="5" max="5" width="14.33203125" bestFit="1" customWidth="1"/>
    <col min="6" max="6" width="13.5" customWidth="1"/>
    <col min="14" max="14" width="11.33203125" customWidth="1"/>
  </cols>
  <sheetData>
    <row r="1" spans="1:28" x14ac:dyDescent="0.2">
      <c r="A1" t="s">
        <v>0</v>
      </c>
      <c r="B1" t="s">
        <v>1</v>
      </c>
      <c r="C1" t="s">
        <v>2</v>
      </c>
      <c r="D1" t="s">
        <v>42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</row>
    <row r="2" spans="1:28" x14ac:dyDescent="0.2">
      <c r="A2">
        <v>1</v>
      </c>
      <c r="B2">
        <v>101</v>
      </c>
      <c r="C2">
        <v>2</v>
      </c>
      <c r="D2" t="str">
        <f>HLOOKUP(Dados!C2,'Variáveis e códigos'!$C$4:$F$5,2,FALSE)</f>
        <v>Feminino</v>
      </c>
      <c r="E2">
        <v>7</v>
      </c>
      <c r="F2">
        <v>1</v>
      </c>
      <c r="G2">
        <v>99</v>
      </c>
      <c r="H2">
        <v>0</v>
      </c>
      <c r="I2">
        <v>0</v>
      </c>
      <c r="J2">
        <v>2</v>
      </c>
      <c r="K2">
        <v>0</v>
      </c>
      <c r="L2">
        <v>1</v>
      </c>
      <c r="M2">
        <v>1</v>
      </c>
      <c r="N2">
        <v>10</v>
      </c>
    </row>
    <row r="3" spans="1:28" x14ac:dyDescent="0.2">
      <c r="A3">
        <v>2</v>
      </c>
      <c r="B3">
        <v>101</v>
      </c>
      <c r="C3">
        <v>2</v>
      </c>
      <c r="D3" t="str">
        <f>HLOOKUP(Dados!C3,'Variáveis e códigos'!$C$4:$F$5,2,FALSE)</f>
        <v>Feminino</v>
      </c>
      <c r="E3">
        <v>6</v>
      </c>
      <c r="F3">
        <v>1</v>
      </c>
      <c r="G3">
        <v>2</v>
      </c>
      <c r="H3">
        <v>1</v>
      </c>
      <c r="I3">
        <v>0</v>
      </c>
      <c r="J3">
        <v>2</v>
      </c>
      <c r="K3">
        <v>0</v>
      </c>
      <c r="L3">
        <v>1</v>
      </c>
      <c r="M3">
        <v>1</v>
      </c>
      <c r="N3">
        <v>9</v>
      </c>
    </row>
    <row r="4" spans="1:28" x14ac:dyDescent="0.2">
      <c r="A4">
        <v>3</v>
      </c>
      <c r="B4">
        <v>101</v>
      </c>
      <c r="C4">
        <v>1</v>
      </c>
      <c r="D4" t="str">
        <f>HLOOKUP(Dados!C4,'Variáveis e códigos'!$C$4:$F$5,2,FALSE)</f>
        <v>Masculino</v>
      </c>
      <c r="E4">
        <v>8</v>
      </c>
      <c r="F4">
        <v>1</v>
      </c>
      <c r="G4">
        <v>2</v>
      </c>
      <c r="H4">
        <v>2</v>
      </c>
      <c r="I4">
        <v>2</v>
      </c>
      <c r="J4">
        <v>0</v>
      </c>
      <c r="K4">
        <v>2</v>
      </c>
      <c r="L4">
        <v>0</v>
      </c>
      <c r="M4">
        <v>0</v>
      </c>
      <c r="N4">
        <v>8</v>
      </c>
    </row>
    <row r="5" spans="1:28" x14ac:dyDescent="0.2">
      <c r="A5">
        <v>4</v>
      </c>
      <c r="B5">
        <v>101</v>
      </c>
      <c r="C5">
        <v>1</v>
      </c>
      <c r="D5" t="str">
        <f>HLOOKUP(Dados!C5,'Variáveis e códigos'!$C$4:$F$5,2,FALSE)</f>
        <v>Masculino</v>
      </c>
      <c r="E5">
        <v>10</v>
      </c>
      <c r="F5">
        <v>1</v>
      </c>
      <c r="G5">
        <v>1</v>
      </c>
      <c r="H5">
        <v>0</v>
      </c>
      <c r="I5">
        <v>0</v>
      </c>
      <c r="J5">
        <v>2</v>
      </c>
      <c r="K5">
        <v>0</v>
      </c>
      <c r="L5">
        <v>0</v>
      </c>
      <c r="M5">
        <v>0</v>
      </c>
      <c r="N5">
        <v>7</v>
      </c>
    </row>
    <row r="6" spans="1:28" x14ac:dyDescent="0.2">
      <c r="A6">
        <v>5</v>
      </c>
      <c r="B6">
        <v>101</v>
      </c>
      <c r="C6">
        <v>1</v>
      </c>
      <c r="D6" t="str">
        <f>HLOOKUP(Dados!C6,'Variáveis e códigos'!$C$4:$F$5,2,FALSE)</f>
        <v>Masculino</v>
      </c>
      <c r="E6">
        <v>4</v>
      </c>
      <c r="F6">
        <v>0</v>
      </c>
      <c r="G6">
        <v>2</v>
      </c>
      <c r="H6">
        <v>2</v>
      </c>
      <c r="I6">
        <v>1</v>
      </c>
      <c r="J6">
        <v>1</v>
      </c>
      <c r="K6">
        <v>0</v>
      </c>
      <c r="L6">
        <v>1</v>
      </c>
      <c r="M6">
        <v>0</v>
      </c>
      <c r="N6">
        <v>7</v>
      </c>
    </row>
    <row r="7" spans="1:28" x14ac:dyDescent="0.2">
      <c r="A7">
        <v>6</v>
      </c>
      <c r="B7">
        <v>101</v>
      </c>
      <c r="C7">
        <v>1</v>
      </c>
      <c r="D7" t="str">
        <f>HLOOKUP(Dados!C7,'Variáveis e códigos'!$C$4:$F$5,2,FALSE)</f>
        <v>Masculino</v>
      </c>
      <c r="E7">
        <v>6</v>
      </c>
      <c r="F7">
        <v>1</v>
      </c>
      <c r="G7">
        <v>1</v>
      </c>
      <c r="H7">
        <v>1</v>
      </c>
      <c r="I7">
        <v>1</v>
      </c>
      <c r="J7">
        <v>2</v>
      </c>
      <c r="K7">
        <v>2</v>
      </c>
      <c r="L7">
        <v>1</v>
      </c>
      <c r="M7">
        <v>2</v>
      </c>
      <c r="N7">
        <v>8</v>
      </c>
    </row>
    <row r="8" spans="1:28" x14ac:dyDescent="0.2">
      <c r="A8">
        <v>7</v>
      </c>
      <c r="B8">
        <v>101</v>
      </c>
      <c r="C8">
        <v>2</v>
      </c>
      <c r="D8" t="str">
        <f>HLOOKUP(Dados!C8,'Variáveis e códigos'!$C$4:$F$5,2,FALSE)</f>
        <v>Feminino</v>
      </c>
      <c r="E8">
        <v>7</v>
      </c>
      <c r="F8">
        <v>1</v>
      </c>
      <c r="G8">
        <v>3</v>
      </c>
      <c r="H8">
        <v>0</v>
      </c>
      <c r="I8">
        <v>0</v>
      </c>
      <c r="J8">
        <v>2</v>
      </c>
      <c r="K8">
        <v>0</v>
      </c>
      <c r="L8">
        <v>0</v>
      </c>
      <c r="M8">
        <v>0</v>
      </c>
      <c r="N8">
        <v>7</v>
      </c>
    </row>
    <row r="9" spans="1:28" x14ac:dyDescent="0.2">
      <c r="A9">
        <v>8</v>
      </c>
      <c r="B9">
        <v>101</v>
      </c>
      <c r="C9">
        <v>1</v>
      </c>
      <c r="D9" t="str">
        <f>HLOOKUP(Dados!C9,'Variáveis e códigos'!$C$4:$F$5,2,FALSE)</f>
        <v>Masculino</v>
      </c>
      <c r="E9">
        <v>10</v>
      </c>
      <c r="F9">
        <v>1</v>
      </c>
      <c r="G9">
        <v>2</v>
      </c>
      <c r="H9">
        <v>1</v>
      </c>
      <c r="I9">
        <v>0</v>
      </c>
      <c r="J9">
        <v>2</v>
      </c>
      <c r="K9">
        <v>0</v>
      </c>
      <c r="L9">
        <v>0</v>
      </c>
      <c r="M9">
        <v>0</v>
      </c>
      <c r="N9">
        <v>10</v>
      </c>
    </row>
    <row r="10" spans="1:28" x14ac:dyDescent="0.2">
      <c r="A10">
        <v>9</v>
      </c>
      <c r="B10">
        <v>101</v>
      </c>
      <c r="C10">
        <v>1</v>
      </c>
      <c r="D10" t="str">
        <f>HLOOKUP(Dados!C10,'Variáveis e códigos'!$C$4:$F$5,2,FALSE)</f>
        <v>Masculino</v>
      </c>
      <c r="E10">
        <v>7</v>
      </c>
      <c r="F10">
        <v>1</v>
      </c>
      <c r="G10">
        <v>2</v>
      </c>
      <c r="H10">
        <v>2</v>
      </c>
      <c r="I10">
        <v>0</v>
      </c>
      <c r="J10">
        <v>2</v>
      </c>
      <c r="K10">
        <v>0</v>
      </c>
      <c r="L10">
        <v>0</v>
      </c>
      <c r="M10">
        <v>0</v>
      </c>
      <c r="N10">
        <v>9</v>
      </c>
    </row>
    <row r="11" spans="1:28" x14ac:dyDescent="0.2">
      <c r="A11">
        <v>10</v>
      </c>
      <c r="B11">
        <v>101</v>
      </c>
      <c r="C11">
        <v>2</v>
      </c>
      <c r="D11" t="str">
        <f>HLOOKUP(Dados!C11,'Variáveis e códigos'!$C$4:$F$5,2,FALSE)</f>
        <v>Feminino</v>
      </c>
      <c r="E11">
        <v>10</v>
      </c>
      <c r="F11">
        <v>1</v>
      </c>
      <c r="G11">
        <v>1</v>
      </c>
      <c r="H11">
        <v>0</v>
      </c>
      <c r="I11">
        <v>0</v>
      </c>
      <c r="J11">
        <v>2</v>
      </c>
      <c r="K11">
        <v>0</v>
      </c>
      <c r="L11">
        <v>0</v>
      </c>
      <c r="M11">
        <v>0</v>
      </c>
      <c r="N11">
        <v>7</v>
      </c>
    </row>
    <row r="12" spans="1:28" x14ac:dyDescent="0.2">
      <c r="A12">
        <v>11</v>
      </c>
      <c r="B12">
        <v>101</v>
      </c>
      <c r="C12">
        <v>1</v>
      </c>
      <c r="D12" t="str">
        <f>HLOOKUP(Dados!C12,'Variáveis e códigos'!$C$4:$F$5,2,FALSE)</f>
        <v>Masculino</v>
      </c>
      <c r="E12">
        <v>7</v>
      </c>
      <c r="F12">
        <v>1</v>
      </c>
      <c r="G12">
        <v>2</v>
      </c>
      <c r="H12">
        <v>2</v>
      </c>
      <c r="I12">
        <v>0</v>
      </c>
      <c r="J12">
        <v>2</v>
      </c>
      <c r="K12">
        <v>0</v>
      </c>
      <c r="L12">
        <v>0</v>
      </c>
      <c r="M12">
        <v>1</v>
      </c>
      <c r="N12">
        <v>8</v>
      </c>
    </row>
    <row r="13" spans="1:28" x14ac:dyDescent="0.2">
      <c r="A13">
        <v>12</v>
      </c>
      <c r="B13">
        <v>101</v>
      </c>
      <c r="C13">
        <v>2</v>
      </c>
      <c r="D13" t="str">
        <f>HLOOKUP(Dados!C13,'Variáveis e códigos'!$C$4:$F$5,2,FALSE)</f>
        <v>Feminino</v>
      </c>
      <c r="E13">
        <v>6</v>
      </c>
      <c r="F13">
        <v>1</v>
      </c>
      <c r="G13">
        <v>1</v>
      </c>
      <c r="H13">
        <v>0</v>
      </c>
      <c r="I13">
        <v>0</v>
      </c>
      <c r="J13">
        <v>2</v>
      </c>
      <c r="K13">
        <v>0</v>
      </c>
      <c r="L13">
        <v>0</v>
      </c>
      <c r="M13">
        <v>0</v>
      </c>
      <c r="N13">
        <v>10</v>
      </c>
    </row>
    <row r="14" spans="1:28" x14ac:dyDescent="0.2">
      <c r="A14">
        <v>13</v>
      </c>
      <c r="B14">
        <v>101</v>
      </c>
      <c r="C14">
        <v>2</v>
      </c>
      <c r="D14" t="str">
        <f>HLOOKUP(Dados!C14,'Variáveis e códigos'!$C$4:$F$5,2,FALSE)</f>
        <v>Feminino</v>
      </c>
      <c r="E14">
        <v>9</v>
      </c>
      <c r="F14">
        <v>1</v>
      </c>
      <c r="G14">
        <v>2</v>
      </c>
      <c r="H14">
        <v>0</v>
      </c>
      <c r="I14">
        <v>2</v>
      </c>
      <c r="J14">
        <v>1</v>
      </c>
      <c r="K14">
        <v>1</v>
      </c>
      <c r="L14">
        <v>2</v>
      </c>
      <c r="M14">
        <v>1</v>
      </c>
      <c r="N14">
        <v>8</v>
      </c>
      <c r="AB14" t="s">
        <v>43</v>
      </c>
    </row>
    <row r="15" spans="1:28" x14ac:dyDescent="0.2">
      <c r="A15">
        <v>14</v>
      </c>
      <c r="B15">
        <v>101</v>
      </c>
      <c r="C15">
        <v>2</v>
      </c>
      <c r="D15" t="str">
        <f>HLOOKUP(Dados!C15,'Variáveis e códigos'!$C$4:$F$5,2,FALSE)</f>
        <v>Feminino</v>
      </c>
      <c r="E15">
        <v>8</v>
      </c>
      <c r="F15">
        <v>1</v>
      </c>
      <c r="G15">
        <v>2</v>
      </c>
      <c r="H15">
        <v>1</v>
      </c>
      <c r="I15">
        <v>0</v>
      </c>
      <c r="J15">
        <v>2</v>
      </c>
      <c r="K15">
        <v>0</v>
      </c>
      <c r="L15">
        <v>0</v>
      </c>
      <c r="M15">
        <v>0</v>
      </c>
      <c r="N15">
        <v>9</v>
      </c>
    </row>
    <row r="16" spans="1:28" x14ac:dyDescent="0.2">
      <c r="A16">
        <v>15</v>
      </c>
      <c r="B16">
        <v>101</v>
      </c>
      <c r="C16">
        <v>1</v>
      </c>
      <c r="D16" t="str">
        <f>HLOOKUP(Dados!C16,'Variáveis e códigos'!$C$4:$F$5,2,FALSE)</f>
        <v>Masculino</v>
      </c>
      <c r="E16">
        <v>9</v>
      </c>
      <c r="F16">
        <v>1</v>
      </c>
      <c r="G16">
        <v>2</v>
      </c>
      <c r="H16">
        <v>2</v>
      </c>
      <c r="I16">
        <v>2</v>
      </c>
      <c r="J16">
        <v>0</v>
      </c>
      <c r="K16">
        <v>2</v>
      </c>
      <c r="L16">
        <v>0</v>
      </c>
      <c r="M16">
        <v>0</v>
      </c>
      <c r="N16">
        <v>7</v>
      </c>
    </row>
    <row r="17" spans="1:14" x14ac:dyDescent="0.2">
      <c r="A17">
        <v>16</v>
      </c>
      <c r="B17">
        <v>101</v>
      </c>
      <c r="C17">
        <v>2</v>
      </c>
      <c r="D17" t="str">
        <f>HLOOKUP(Dados!C17,'Variáveis e códigos'!$C$4:$F$5,2,FALSE)</f>
        <v>Feminino</v>
      </c>
      <c r="E17">
        <v>9</v>
      </c>
      <c r="F17">
        <v>1</v>
      </c>
      <c r="G17">
        <v>1</v>
      </c>
      <c r="H17">
        <v>0</v>
      </c>
      <c r="I17">
        <v>0</v>
      </c>
      <c r="J17">
        <v>2</v>
      </c>
      <c r="K17">
        <v>0</v>
      </c>
      <c r="L17">
        <v>0</v>
      </c>
      <c r="M17">
        <v>0</v>
      </c>
      <c r="N17">
        <v>9</v>
      </c>
    </row>
    <row r="18" spans="1:14" x14ac:dyDescent="0.2">
      <c r="A18">
        <v>17</v>
      </c>
      <c r="B18">
        <v>101</v>
      </c>
      <c r="C18">
        <v>2</v>
      </c>
      <c r="D18" t="str">
        <f>HLOOKUP(Dados!C18,'Variáveis e códigos'!$C$4:$F$5,2,FALSE)</f>
        <v>Feminino</v>
      </c>
      <c r="E18">
        <v>9</v>
      </c>
      <c r="F18">
        <v>1</v>
      </c>
      <c r="G18">
        <v>1</v>
      </c>
      <c r="H18">
        <v>1</v>
      </c>
      <c r="I18">
        <v>1</v>
      </c>
      <c r="J18">
        <v>1</v>
      </c>
      <c r="K18">
        <v>0</v>
      </c>
      <c r="L18">
        <v>0</v>
      </c>
      <c r="M18">
        <v>2</v>
      </c>
      <c r="N18">
        <v>10</v>
      </c>
    </row>
    <row r="19" spans="1:14" x14ac:dyDescent="0.2">
      <c r="A19">
        <v>18</v>
      </c>
      <c r="B19">
        <v>101</v>
      </c>
      <c r="C19">
        <v>2</v>
      </c>
      <c r="D19" t="str">
        <f>HLOOKUP(Dados!C19,'Variáveis e códigos'!$C$4:$F$5,2,FALSE)</f>
        <v>Feminino</v>
      </c>
      <c r="E19">
        <v>7</v>
      </c>
      <c r="F19">
        <v>1</v>
      </c>
      <c r="G19">
        <v>3</v>
      </c>
      <c r="H19">
        <v>2</v>
      </c>
      <c r="I19">
        <v>1</v>
      </c>
      <c r="J19">
        <v>2</v>
      </c>
      <c r="K19">
        <v>0</v>
      </c>
      <c r="L19">
        <v>0</v>
      </c>
      <c r="M19">
        <v>1</v>
      </c>
      <c r="N19">
        <v>8</v>
      </c>
    </row>
    <row r="20" spans="1:14" x14ac:dyDescent="0.2">
      <c r="A20">
        <v>19</v>
      </c>
      <c r="B20">
        <v>101</v>
      </c>
      <c r="C20">
        <v>2</v>
      </c>
      <c r="D20" t="str">
        <f>HLOOKUP(Dados!C20,'Variáveis e códigos'!$C$4:$F$5,2,FALSE)</f>
        <v>Feminino</v>
      </c>
      <c r="E20">
        <v>7</v>
      </c>
      <c r="F20">
        <v>1</v>
      </c>
      <c r="G20">
        <v>1</v>
      </c>
      <c r="H20">
        <v>0</v>
      </c>
      <c r="I20">
        <v>0</v>
      </c>
      <c r="J20">
        <v>2</v>
      </c>
      <c r="K20">
        <v>0</v>
      </c>
      <c r="L20">
        <v>0</v>
      </c>
      <c r="M20">
        <v>0</v>
      </c>
      <c r="N20">
        <v>7</v>
      </c>
    </row>
    <row r="21" spans="1:14" x14ac:dyDescent="0.2">
      <c r="A21">
        <v>20</v>
      </c>
      <c r="B21">
        <v>101</v>
      </c>
      <c r="C21">
        <v>1</v>
      </c>
      <c r="D21" t="str">
        <f>HLOOKUP(Dados!C21,'Variáveis e códigos'!$C$4:$F$5,2,FALSE)</f>
        <v>Masculino</v>
      </c>
      <c r="E21">
        <v>8</v>
      </c>
      <c r="F21">
        <v>1</v>
      </c>
      <c r="G21">
        <v>2</v>
      </c>
      <c r="H21">
        <v>2</v>
      </c>
      <c r="I21">
        <v>0</v>
      </c>
      <c r="J21">
        <v>2</v>
      </c>
      <c r="K21">
        <v>0</v>
      </c>
      <c r="L21">
        <v>0</v>
      </c>
      <c r="M21">
        <v>2</v>
      </c>
      <c r="N21">
        <v>9</v>
      </c>
    </row>
    <row r="22" spans="1:14" x14ac:dyDescent="0.2">
      <c r="A22">
        <v>21</v>
      </c>
      <c r="B22">
        <v>101</v>
      </c>
      <c r="C22">
        <v>2</v>
      </c>
      <c r="D22" t="str">
        <f>HLOOKUP(Dados!C22,'Variáveis e códigos'!$C$4:$F$5,2,FALSE)</f>
        <v>Feminino</v>
      </c>
      <c r="E22">
        <v>9</v>
      </c>
      <c r="F22">
        <v>1</v>
      </c>
      <c r="G22">
        <v>2</v>
      </c>
      <c r="H22">
        <v>1</v>
      </c>
      <c r="I22">
        <v>0</v>
      </c>
      <c r="J22">
        <v>2</v>
      </c>
      <c r="K22">
        <v>0</v>
      </c>
      <c r="L22">
        <v>0</v>
      </c>
      <c r="M22">
        <v>0</v>
      </c>
      <c r="N22">
        <v>99</v>
      </c>
    </row>
    <row r="23" spans="1:14" x14ac:dyDescent="0.2">
      <c r="A23">
        <v>22</v>
      </c>
      <c r="B23">
        <v>101</v>
      </c>
      <c r="C23">
        <v>2</v>
      </c>
      <c r="D23" t="str">
        <f>HLOOKUP(Dados!C23,'Variáveis e códigos'!$C$4:$F$5,2,FALSE)</f>
        <v>Feminino</v>
      </c>
      <c r="E23">
        <v>8</v>
      </c>
      <c r="F23">
        <v>1</v>
      </c>
      <c r="G23">
        <v>2</v>
      </c>
      <c r="H23">
        <v>99</v>
      </c>
      <c r="I23">
        <v>0</v>
      </c>
      <c r="J23">
        <v>2</v>
      </c>
      <c r="K23">
        <v>0</v>
      </c>
      <c r="L23">
        <v>1</v>
      </c>
      <c r="M23">
        <v>1</v>
      </c>
      <c r="N23">
        <v>9</v>
      </c>
    </row>
    <row r="24" spans="1:14" x14ac:dyDescent="0.2">
      <c r="A24">
        <v>23</v>
      </c>
      <c r="B24">
        <v>101</v>
      </c>
      <c r="C24">
        <v>2</v>
      </c>
      <c r="D24" t="str">
        <f>HLOOKUP(Dados!C24,'Variáveis e códigos'!$C$4:$F$5,2,FALSE)</f>
        <v>Feminino</v>
      </c>
      <c r="E24">
        <v>6</v>
      </c>
      <c r="F24">
        <v>1</v>
      </c>
      <c r="G24">
        <v>1</v>
      </c>
      <c r="H24">
        <v>0</v>
      </c>
      <c r="I24">
        <v>0</v>
      </c>
      <c r="J24">
        <v>2</v>
      </c>
      <c r="K24">
        <v>0</v>
      </c>
      <c r="L24">
        <v>0</v>
      </c>
      <c r="M24">
        <v>0</v>
      </c>
      <c r="N24">
        <v>8</v>
      </c>
    </row>
    <row r="25" spans="1:14" x14ac:dyDescent="0.2">
      <c r="A25">
        <v>24</v>
      </c>
      <c r="B25">
        <v>101</v>
      </c>
      <c r="C25">
        <v>2</v>
      </c>
      <c r="D25" t="str">
        <f>HLOOKUP(Dados!C25,'Variáveis e códigos'!$C$4:$F$5,2,FALSE)</f>
        <v>Feminino</v>
      </c>
      <c r="E25">
        <v>7</v>
      </c>
      <c r="F25">
        <v>1</v>
      </c>
      <c r="G25">
        <v>3</v>
      </c>
      <c r="H25">
        <v>1</v>
      </c>
      <c r="I25">
        <v>0</v>
      </c>
      <c r="J25">
        <v>2</v>
      </c>
      <c r="K25">
        <v>0</v>
      </c>
      <c r="L25">
        <v>0</v>
      </c>
      <c r="M25">
        <v>0</v>
      </c>
      <c r="N25">
        <v>7</v>
      </c>
    </row>
    <row r="26" spans="1:14" x14ac:dyDescent="0.2">
      <c r="A26">
        <v>25</v>
      </c>
      <c r="B26">
        <v>101</v>
      </c>
      <c r="C26">
        <v>2</v>
      </c>
      <c r="D26" t="str">
        <f>HLOOKUP(Dados!C26,'Variáveis e códigos'!$C$4:$F$5,2,FALSE)</f>
        <v>Feminino</v>
      </c>
      <c r="E26">
        <v>6</v>
      </c>
      <c r="F26">
        <v>1</v>
      </c>
      <c r="G26">
        <v>1</v>
      </c>
      <c r="H26">
        <v>1</v>
      </c>
      <c r="I26">
        <v>0</v>
      </c>
      <c r="J26">
        <v>2</v>
      </c>
      <c r="K26">
        <v>0</v>
      </c>
      <c r="L26">
        <v>0</v>
      </c>
      <c r="M26">
        <v>1</v>
      </c>
      <c r="N26">
        <v>10</v>
      </c>
    </row>
    <row r="27" spans="1:14" x14ac:dyDescent="0.2">
      <c r="A27">
        <v>26</v>
      </c>
      <c r="B27">
        <v>101</v>
      </c>
      <c r="C27">
        <v>1</v>
      </c>
      <c r="D27" t="str">
        <f>HLOOKUP(Dados!C27,'Variáveis e códigos'!$C$4:$F$5,2,FALSE)</f>
        <v>Masculino</v>
      </c>
      <c r="E27">
        <v>7</v>
      </c>
      <c r="F27">
        <v>1</v>
      </c>
      <c r="G27">
        <v>2</v>
      </c>
      <c r="H27">
        <v>0</v>
      </c>
      <c r="I27">
        <v>0</v>
      </c>
      <c r="J27">
        <v>2</v>
      </c>
      <c r="K27">
        <v>0</v>
      </c>
      <c r="L27">
        <v>1</v>
      </c>
      <c r="M27">
        <v>0</v>
      </c>
      <c r="N27">
        <v>9</v>
      </c>
    </row>
    <row r="28" spans="1:14" x14ac:dyDescent="0.2">
      <c r="A28">
        <v>27</v>
      </c>
      <c r="B28">
        <v>101</v>
      </c>
      <c r="C28">
        <v>2</v>
      </c>
      <c r="D28" t="str">
        <f>HLOOKUP(Dados!C28,'Variáveis e códigos'!$C$4:$F$5,2,FALSE)</f>
        <v>Feminino</v>
      </c>
      <c r="E28">
        <v>9</v>
      </c>
      <c r="F28">
        <v>1</v>
      </c>
      <c r="G28">
        <v>2</v>
      </c>
      <c r="H28">
        <v>0</v>
      </c>
      <c r="I28">
        <v>0</v>
      </c>
      <c r="J28">
        <v>2</v>
      </c>
      <c r="K28">
        <v>0</v>
      </c>
      <c r="L28">
        <v>0</v>
      </c>
      <c r="M28">
        <v>0</v>
      </c>
      <c r="N28">
        <v>8</v>
      </c>
    </row>
    <row r="29" spans="1:14" x14ac:dyDescent="0.2">
      <c r="A29">
        <v>28</v>
      </c>
      <c r="B29">
        <v>101</v>
      </c>
      <c r="C29">
        <v>2</v>
      </c>
      <c r="D29" t="str">
        <f>HLOOKUP(Dados!C29,'Variáveis e códigos'!$C$4:$F$5,2,FALSE)</f>
        <v>Feminino</v>
      </c>
      <c r="E29">
        <v>10</v>
      </c>
      <c r="F29">
        <v>1</v>
      </c>
      <c r="G29">
        <v>2</v>
      </c>
      <c r="H29">
        <v>0</v>
      </c>
      <c r="I29">
        <v>0</v>
      </c>
      <c r="J29">
        <v>2</v>
      </c>
      <c r="K29">
        <v>0</v>
      </c>
      <c r="L29">
        <v>0</v>
      </c>
      <c r="M29">
        <v>0</v>
      </c>
      <c r="N29">
        <v>10</v>
      </c>
    </row>
    <row r="30" spans="1:14" x14ac:dyDescent="0.2">
      <c r="A30">
        <v>29</v>
      </c>
      <c r="B30">
        <v>101</v>
      </c>
      <c r="C30">
        <v>2</v>
      </c>
      <c r="D30" t="str">
        <f>HLOOKUP(Dados!C30,'Variáveis e códigos'!$C$4:$F$5,2,FALSE)</f>
        <v>Feminino</v>
      </c>
      <c r="E30">
        <v>3</v>
      </c>
      <c r="F30">
        <v>0</v>
      </c>
      <c r="G30">
        <v>2</v>
      </c>
      <c r="H30">
        <v>0</v>
      </c>
      <c r="I30">
        <v>0</v>
      </c>
      <c r="J30">
        <v>2</v>
      </c>
      <c r="K30">
        <v>0</v>
      </c>
      <c r="L30">
        <v>0</v>
      </c>
      <c r="M30">
        <v>0</v>
      </c>
      <c r="N30">
        <v>99</v>
      </c>
    </row>
    <row r="31" spans="1:14" x14ac:dyDescent="0.2">
      <c r="A31">
        <v>30</v>
      </c>
      <c r="B31">
        <v>101</v>
      </c>
      <c r="C31">
        <v>2</v>
      </c>
      <c r="D31" t="str">
        <f>HLOOKUP(Dados!C31,'Variáveis e códigos'!$C$4:$F$5,2,FALSE)</f>
        <v>Feminino</v>
      </c>
      <c r="E31">
        <v>8</v>
      </c>
      <c r="F31">
        <v>1</v>
      </c>
      <c r="G31">
        <v>99</v>
      </c>
      <c r="H31">
        <v>0</v>
      </c>
      <c r="I31">
        <v>0</v>
      </c>
      <c r="J31">
        <v>2</v>
      </c>
      <c r="K31">
        <v>0</v>
      </c>
      <c r="L31">
        <v>0</v>
      </c>
      <c r="M31">
        <v>0</v>
      </c>
      <c r="N31">
        <v>9</v>
      </c>
    </row>
    <row r="32" spans="1:14" x14ac:dyDescent="0.2">
      <c r="A32">
        <v>31</v>
      </c>
      <c r="B32">
        <v>101</v>
      </c>
      <c r="C32">
        <v>2</v>
      </c>
      <c r="D32" t="str">
        <f>HLOOKUP(Dados!C32,'Variáveis e códigos'!$C$4:$F$5,2,FALSE)</f>
        <v>Feminino</v>
      </c>
      <c r="E32">
        <v>7</v>
      </c>
      <c r="F32">
        <v>1</v>
      </c>
      <c r="G32">
        <v>2</v>
      </c>
      <c r="H32">
        <v>2</v>
      </c>
      <c r="I32">
        <v>1</v>
      </c>
      <c r="J32">
        <v>1</v>
      </c>
      <c r="K32">
        <v>1</v>
      </c>
      <c r="L32">
        <v>1</v>
      </c>
      <c r="M32">
        <v>99</v>
      </c>
      <c r="N32">
        <v>7</v>
      </c>
    </row>
    <row r="33" spans="1:14" x14ac:dyDescent="0.2">
      <c r="A33">
        <v>32</v>
      </c>
      <c r="B33">
        <v>101</v>
      </c>
      <c r="C33">
        <v>1</v>
      </c>
      <c r="D33" t="str">
        <f>HLOOKUP(Dados!C33,'Variáveis e códigos'!$C$4:$F$5,2,FALSE)</f>
        <v>Masculino</v>
      </c>
      <c r="E33">
        <v>8</v>
      </c>
      <c r="F33">
        <v>1</v>
      </c>
      <c r="G33">
        <v>1</v>
      </c>
      <c r="H33">
        <v>1</v>
      </c>
      <c r="I33">
        <v>0</v>
      </c>
      <c r="J33">
        <v>2</v>
      </c>
      <c r="K33">
        <v>0</v>
      </c>
      <c r="L33">
        <v>0</v>
      </c>
      <c r="M33">
        <v>1</v>
      </c>
      <c r="N33">
        <v>8</v>
      </c>
    </row>
    <row r="34" spans="1:14" x14ac:dyDescent="0.2">
      <c r="A34">
        <v>33</v>
      </c>
      <c r="B34">
        <v>101</v>
      </c>
      <c r="C34">
        <v>1</v>
      </c>
      <c r="D34" t="str">
        <f>HLOOKUP(Dados!C34,'Variáveis e códigos'!$C$4:$F$5,2,FALSE)</f>
        <v>Masculino</v>
      </c>
      <c r="E34">
        <v>8</v>
      </c>
      <c r="F34">
        <v>1</v>
      </c>
      <c r="G34">
        <v>2</v>
      </c>
      <c r="H34">
        <v>1</v>
      </c>
      <c r="I34">
        <v>0</v>
      </c>
      <c r="J34">
        <v>2</v>
      </c>
      <c r="K34">
        <v>0</v>
      </c>
      <c r="L34">
        <v>2</v>
      </c>
      <c r="M34">
        <v>0</v>
      </c>
      <c r="N34">
        <v>10</v>
      </c>
    </row>
    <row r="35" spans="1:14" x14ac:dyDescent="0.2">
      <c r="A35">
        <v>34</v>
      </c>
      <c r="B35">
        <v>101</v>
      </c>
      <c r="C35">
        <v>1</v>
      </c>
      <c r="D35" t="str">
        <f>HLOOKUP(Dados!C35,'Variáveis e códigos'!$C$4:$F$5,2,FALSE)</f>
        <v>Masculino</v>
      </c>
      <c r="E35">
        <v>6</v>
      </c>
      <c r="F35">
        <v>1</v>
      </c>
      <c r="G35">
        <v>1</v>
      </c>
      <c r="H35">
        <v>2</v>
      </c>
      <c r="I35">
        <v>1</v>
      </c>
      <c r="J35">
        <v>1</v>
      </c>
      <c r="K35">
        <v>1</v>
      </c>
      <c r="L35">
        <v>1</v>
      </c>
      <c r="M35">
        <v>1</v>
      </c>
      <c r="N35">
        <v>8</v>
      </c>
    </row>
    <row r="36" spans="1:14" x14ac:dyDescent="0.2">
      <c r="A36">
        <v>35</v>
      </c>
      <c r="B36">
        <v>101</v>
      </c>
      <c r="C36">
        <v>1</v>
      </c>
      <c r="D36" t="str">
        <f>HLOOKUP(Dados!C36,'Variáveis e códigos'!$C$4:$F$5,2,FALSE)</f>
        <v>Masculino</v>
      </c>
      <c r="E36">
        <v>6</v>
      </c>
      <c r="F36">
        <v>1</v>
      </c>
      <c r="G36">
        <v>1</v>
      </c>
      <c r="H36">
        <v>2</v>
      </c>
      <c r="I36">
        <v>0</v>
      </c>
      <c r="J36">
        <v>1</v>
      </c>
      <c r="K36">
        <v>0</v>
      </c>
      <c r="L36">
        <v>1</v>
      </c>
      <c r="M36">
        <v>2</v>
      </c>
      <c r="N36">
        <v>10</v>
      </c>
    </row>
    <row r="37" spans="1:14" x14ac:dyDescent="0.2">
      <c r="A37">
        <v>36</v>
      </c>
      <c r="B37">
        <v>101</v>
      </c>
      <c r="C37">
        <v>1</v>
      </c>
      <c r="D37" t="str">
        <f>HLOOKUP(Dados!C37,'Variáveis e códigos'!$C$4:$F$5,2,FALSE)</f>
        <v>Masculino</v>
      </c>
      <c r="E37">
        <v>4</v>
      </c>
      <c r="F37">
        <v>0</v>
      </c>
      <c r="G37">
        <v>3</v>
      </c>
      <c r="H37">
        <v>2</v>
      </c>
      <c r="I37">
        <v>1</v>
      </c>
      <c r="J37">
        <v>2</v>
      </c>
      <c r="K37">
        <v>0</v>
      </c>
      <c r="L37">
        <v>0</v>
      </c>
      <c r="M37">
        <v>2</v>
      </c>
      <c r="N37">
        <v>7</v>
      </c>
    </row>
    <row r="38" spans="1:14" x14ac:dyDescent="0.2">
      <c r="A38">
        <v>37</v>
      </c>
      <c r="B38">
        <v>101</v>
      </c>
      <c r="C38">
        <v>1</v>
      </c>
      <c r="D38" t="str">
        <f>HLOOKUP(Dados!C38,'Variáveis e códigos'!$C$4:$F$5,2,FALSE)</f>
        <v>Masculino</v>
      </c>
      <c r="E38">
        <v>5</v>
      </c>
      <c r="F38">
        <v>0</v>
      </c>
      <c r="G38">
        <v>3</v>
      </c>
      <c r="H38">
        <v>1</v>
      </c>
      <c r="I38">
        <v>0</v>
      </c>
      <c r="J38">
        <v>2</v>
      </c>
      <c r="K38">
        <v>0</v>
      </c>
      <c r="L38">
        <v>0</v>
      </c>
      <c r="M38">
        <v>0</v>
      </c>
      <c r="N38">
        <v>8</v>
      </c>
    </row>
    <row r="39" spans="1:14" x14ac:dyDescent="0.2">
      <c r="A39">
        <v>38</v>
      </c>
      <c r="B39">
        <v>101</v>
      </c>
      <c r="C39">
        <v>2</v>
      </c>
      <c r="D39" t="str">
        <f>HLOOKUP(Dados!C39,'Variáveis e códigos'!$C$4:$F$5,2,FALSE)</f>
        <v>Feminino</v>
      </c>
      <c r="E39">
        <v>6</v>
      </c>
      <c r="F39">
        <v>1</v>
      </c>
      <c r="G39">
        <v>3</v>
      </c>
      <c r="H39">
        <v>0</v>
      </c>
      <c r="I39">
        <v>0</v>
      </c>
      <c r="J39">
        <v>2</v>
      </c>
      <c r="K39">
        <v>0</v>
      </c>
      <c r="L39">
        <v>1</v>
      </c>
      <c r="M39">
        <v>1</v>
      </c>
      <c r="N39">
        <v>7</v>
      </c>
    </row>
    <row r="40" spans="1:14" x14ac:dyDescent="0.2">
      <c r="A40">
        <v>39</v>
      </c>
      <c r="B40">
        <v>101</v>
      </c>
      <c r="C40">
        <v>1</v>
      </c>
      <c r="D40" t="str">
        <f>HLOOKUP(Dados!C40,'Variáveis e códigos'!$C$4:$F$5,2,FALSE)</f>
        <v>Masculino</v>
      </c>
      <c r="E40">
        <v>7</v>
      </c>
      <c r="F40">
        <v>1</v>
      </c>
      <c r="G40">
        <v>99</v>
      </c>
      <c r="H40">
        <v>2</v>
      </c>
      <c r="I40">
        <v>0</v>
      </c>
      <c r="J40">
        <v>2</v>
      </c>
      <c r="K40">
        <v>0</v>
      </c>
      <c r="L40">
        <v>0</v>
      </c>
      <c r="M40">
        <v>2</v>
      </c>
      <c r="N40">
        <v>8</v>
      </c>
    </row>
    <row r="41" spans="1:14" x14ac:dyDescent="0.2">
      <c r="A41">
        <v>40</v>
      </c>
      <c r="B41">
        <v>101</v>
      </c>
      <c r="C41">
        <v>2</v>
      </c>
      <c r="D41" t="str">
        <f>HLOOKUP(Dados!C41,'Variáveis e códigos'!$C$4:$F$5,2,FALSE)</f>
        <v>Feminino</v>
      </c>
      <c r="E41">
        <v>9</v>
      </c>
      <c r="F41">
        <v>1</v>
      </c>
      <c r="G41">
        <v>1</v>
      </c>
      <c r="H41">
        <v>2</v>
      </c>
      <c r="I41">
        <v>2</v>
      </c>
      <c r="J41">
        <v>0</v>
      </c>
      <c r="K41">
        <v>2</v>
      </c>
      <c r="L41">
        <v>0</v>
      </c>
      <c r="M41">
        <v>1</v>
      </c>
      <c r="N41">
        <v>8</v>
      </c>
    </row>
    <row r="42" spans="1:14" x14ac:dyDescent="0.2">
      <c r="A42">
        <v>41</v>
      </c>
      <c r="B42">
        <v>101</v>
      </c>
      <c r="C42">
        <v>2</v>
      </c>
      <c r="D42" t="str">
        <f>HLOOKUP(Dados!C42,'Variáveis e códigos'!$C$4:$F$5,2,FALSE)</f>
        <v>Feminino</v>
      </c>
      <c r="E42">
        <v>8</v>
      </c>
      <c r="F42">
        <v>1</v>
      </c>
      <c r="G42">
        <v>3</v>
      </c>
      <c r="H42">
        <v>0</v>
      </c>
      <c r="I42">
        <v>0</v>
      </c>
      <c r="J42">
        <v>2</v>
      </c>
      <c r="K42">
        <v>0</v>
      </c>
      <c r="L42">
        <v>0</v>
      </c>
      <c r="M42">
        <v>0</v>
      </c>
      <c r="N42">
        <v>9</v>
      </c>
    </row>
    <row r="43" spans="1:14" x14ac:dyDescent="0.2">
      <c r="A43">
        <v>42</v>
      </c>
      <c r="B43">
        <v>101</v>
      </c>
      <c r="C43">
        <v>2</v>
      </c>
      <c r="D43" t="str">
        <f>HLOOKUP(Dados!C43,'Variáveis e códigos'!$C$4:$F$5,2,FALSE)</f>
        <v>Feminino</v>
      </c>
      <c r="E43">
        <v>6</v>
      </c>
      <c r="F43">
        <v>1</v>
      </c>
      <c r="G43">
        <v>1</v>
      </c>
      <c r="H43">
        <v>2</v>
      </c>
      <c r="I43">
        <v>1</v>
      </c>
      <c r="J43">
        <v>1</v>
      </c>
      <c r="K43">
        <v>0</v>
      </c>
      <c r="L43">
        <v>0</v>
      </c>
      <c r="M43">
        <v>0</v>
      </c>
      <c r="N43">
        <v>9</v>
      </c>
    </row>
    <row r="44" spans="1:14" x14ac:dyDescent="0.2">
      <c r="A44">
        <v>43</v>
      </c>
      <c r="B44">
        <v>101</v>
      </c>
      <c r="C44">
        <v>2</v>
      </c>
      <c r="D44" t="str">
        <f>HLOOKUP(Dados!C44,'Variáveis e códigos'!$C$4:$F$5,2,FALSE)</f>
        <v>Feminino</v>
      </c>
      <c r="E44">
        <v>6</v>
      </c>
      <c r="F44">
        <v>1</v>
      </c>
      <c r="G44">
        <v>2</v>
      </c>
      <c r="H44">
        <v>1</v>
      </c>
      <c r="I44">
        <v>0</v>
      </c>
      <c r="J44">
        <v>2</v>
      </c>
      <c r="K44">
        <v>0</v>
      </c>
      <c r="L44">
        <v>0</v>
      </c>
      <c r="M44">
        <v>0</v>
      </c>
      <c r="N44">
        <v>8</v>
      </c>
    </row>
    <row r="45" spans="1:14" x14ac:dyDescent="0.2">
      <c r="A45">
        <v>44</v>
      </c>
      <c r="B45">
        <v>101</v>
      </c>
      <c r="C45">
        <v>1</v>
      </c>
      <c r="D45" t="str">
        <f>HLOOKUP(Dados!C45,'Variáveis e códigos'!$C$4:$F$5,2,FALSE)</f>
        <v>Masculino</v>
      </c>
      <c r="E45">
        <v>8</v>
      </c>
      <c r="F45">
        <v>1</v>
      </c>
      <c r="G45">
        <v>2</v>
      </c>
      <c r="H45">
        <v>0</v>
      </c>
      <c r="I45">
        <v>1</v>
      </c>
      <c r="J45">
        <v>2</v>
      </c>
      <c r="K45">
        <v>0</v>
      </c>
      <c r="L45">
        <v>0</v>
      </c>
      <c r="M45">
        <v>0</v>
      </c>
      <c r="N45">
        <v>99</v>
      </c>
    </row>
    <row r="46" spans="1:14" x14ac:dyDescent="0.2">
      <c r="A46">
        <v>45</v>
      </c>
      <c r="B46">
        <v>101</v>
      </c>
      <c r="C46">
        <v>1</v>
      </c>
      <c r="D46" t="str">
        <f>HLOOKUP(Dados!C46,'Variáveis e códigos'!$C$4:$F$5,2,FALSE)</f>
        <v>Masculino</v>
      </c>
      <c r="E46">
        <v>6</v>
      </c>
      <c r="F46">
        <v>1</v>
      </c>
      <c r="G46">
        <v>3</v>
      </c>
      <c r="H46">
        <v>1</v>
      </c>
      <c r="I46">
        <v>0</v>
      </c>
      <c r="J46">
        <v>2</v>
      </c>
      <c r="K46">
        <v>0</v>
      </c>
      <c r="L46">
        <v>0</v>
      </c>
      <c r="M46">
        <v>99</v>
      </c>
      <c r="N46">
        <v>9</v>
      </c>
    </row>
    <row r="47" spans="1:14" x14ac:dyDescent="0.2">
      <c r="A47">
        <v>46</v>
      </c>
      <c r="B47">
        <v>101</v>
      </c>
      <c r="C47">
        <v>2</v>
      </c>
      <c r="D47" t="str">
        <f>HLOOKUP(Dados!C47,'Variáveis e códigos'!$C$4:$F$5,2,FALSE)</f>
        <v>Feminino</v>
      </c>
      <c r="E47">
        <v>9</v>
      </c>
      <c r="F47">
        <v>1</v>
      </c>
      <c r="G47">
        <v>2</v>
      </c>
      <c r="H47">
        <v>0</v>
      </c>
      <c r="I47">
        <v>0</v>
      </c>
      <c r="J47">
        <v>2</v>
      </c>
      <c r="K47">
        <v>0</v>
      </c>
      <c r="L47">
        <v>0</v>
      </c>
      <c r="M47">
        <v>0</v>
      </c>
      <c r="N47">
        <v>10</v>
      </c>
    </row>
    <row r="48" spans="1:14" x14ac:dyDescent="0.2">
      <c r="A48">
        <v>47</v>
      </c>
      <c r="B48">
        <v>101</v>
      </c>
      <c r="C48">
        <v>2</v>
      </c>
      <c r="D48" t="str">
        <f>HLOOKUP(Dados!C48,'Variáveis e códigos'!$C$4:$F$5,2,FALSE)</f>
        <v>Feminino</v>
      </c>
      <c r="E48">
        <v>8</v>
      </c>
      <c r="F48">
        <v>1</v>
      </c>
      <c r="G48">
        <v>2</v>
      </c>
      <c r="H48">
        <v>1</v>
      </c>
      <c r="I48">
        <v>0</v>
      </c>
      <c r="J48">
        <v>2</v>
      </c>
      <c r="K48">
        <v>0</v>
      </c>
      <c r="L48">
        <v>0</v>
      </c>
      <c r="M48">
        <v>0</v>
      </c>
      <c r="N48">
        <v>99</v>
      </c>
    </row>
    <row r="49" spans="1:14" x14ac:dyDescent="0.2">
      <c r="A49">
        <v>48</v>
      </c>
      <c r="B49">
        <v>101</v>
      </c>
      <c r="C49">
        <v>2</v>
      </c>
      <c r="D49" t="str">
        <f>HLOOKUP(Dados!C49,'Variáveis e códigos'!$C$4:$F$5,2,FALSE)</f>
        <v>Feminino</v>
      </c>
      <c r="E49">
        <v>8</v>
      </c>
      <c r="F49">
        <v>1</v>
      </c>
      <c r="G49">
        <v>1</v>
      </c>
      <c r="H49">
        <v>1</v>
      </c>
      <c r="I49">
        <v>0</v>
      </c>
      <c r="J49">
        <v>2</v>
      </c>
      <c r="K49">
        <v>0</v>
      </c>
      <c r="L49">
        <v>0</v>
      </c>
      <c r="M49">
        <v>0</v>
      </c>
      <c r="N49">
        <v>8</v>
      </c>
    </row>
    <row r="50" spans="1:14" x14ac:dyDescent="0.2">
      <c r="A50">
        <v>49</v>
      </c>
      <c r="B50">
        <v>101</v>
      </c>
      <c r="C50">
        <v>2</v>
      </c>
      <c r="D50" t="str">
        <f>HLOOKUP(Dados!C50,'Variáveis e códigos'!$C$4:$F$5,2,FALSE)</f>
        <v>Feminino</v>
      </c>
      <c r="E50">
        <v>9</v>
      </c>
      <c r="F50">
        <v>1</v>
      </c>
      <c r="G50">
        <v>3</v>
      </c>
      <c r="H50">
        <v>1</v>
      </c>
      <c r="I50">
        <v>0</v>
      </c>
      <c r="J50">
        <v>2</v>
      </c>
      <c r="K50">
        <v>0</v>
      </c>
      <c r="L50">
        <v>1</v>
      </c>
      <c r="M50">
        <v>2</v>
      </c>
      <c r="N50">
        <v>99</v>
      </c>
    </row>
    <row r="51" spans="1:14" x14ac:dyDescent="0.2">
      <c r="A51">
        <v>50</v>
      </c>
      <c r="B51">
        <v>101</v>
      </c>
      <c r="C51">
        <v>1</v>
      </c>
      <c r="D51" t="str">
        <f>HLOOKUP(Dados!C51,'Variáveis e códigos'!$C$4:$F$5,2,FALSE)</f>
        <v>Masculino</v>
      </c>
      <c r="E51">
        <v>9</v>
      </c>
      <c r="F51">
        <v>1</v>
      </c>
      <c r="G51">
        <v>1</v>
      </c>
      <c r="H51">
        <v>1</v>
      </c>
      <c r="I51">
        <v>1</v>
      </c>
      <c r="J51">
        <v>2</v>
      </c>
      <c r="K51">
        <v>1</v>
      </c>
      <c r="L51">
        <v>0</v>
      </c>
      <c r="M51">
        <v>0</v>
      </c>
      <c r="N51">
        <v>9</v>
      </c>
    </row>
    <row r="52" spans="1:14" x14ac:dyDescent="0.2">
      <c r="A52">
        <v>51</v>
      </c>
      <c r="B52">
        <v>101</v>
      </c>
      <c r="C52">
        <v>1</v>
      </c>
      <c r="D52" t="str">
        <f>HLOOKUP(Dados!C52,'Variáveis e códigos'!$C$4:$F$5,2,FALSE)</f>
        <v>Masculino</v>
      </c>
      <c r="E52">
        <v>10</v>
      </c>
      <c r="F52">
        <v>1</v>
      </c>
      <c r="G52">
        <v>99</v>
      </c>
      <c r="H52">
        <v>0</v>
      </c>
      <c r="I52">
        <v>0</v>
      </c>
      <c r="J52">
        <v>2</v>
      </c>
      <c r="K52">
        <v>0</v>
      </c>
      <c r="L52">
        <v>0</v>
      </c>
      <c r="M52">
        <v>0</v>
      </c>
      <c r="N52">
        <v>8</v>
      </c>
    </row>
    <row r="53" spans="1:14" x14ac:dyDescent="0.2">
      <c r="A53">
        <v>52</v>
      </c>
      <c r="B53">
        <v>101</v>
      </c>
      <c r="C53">
        <v>1</v>
      </c>
      <c r="D53" t="str">
        <f>HLOOKUP(Dados!C53,'Variáveis e códigos'!$C$4:$F$5,2,FALSE)</f>
        <v>Masculino</v>
      </c>
      <c r="E53">
        <v>8</v>
      </c>
      <c r="F53">
        <v>1</v>
      </c>
      <c r="G53">
        <v>2</v>
      </c>
      <c r="H53">
        <v>2</v>
      </c>
      <c r="I53">
        <v>0</v>
      </c>
      <c r="J53">
        <v>1</v>
      </c>
      <c r="K53">
        <v>2</v>
      </c>
      <c r="L53">
        <v>1</v>
      </c>
      <c r="M53">
        <v>0</v>
      </c>
      <c r="N53">
        <v>9</v>
      </c>
    </row>
    <row r="54" spans="1:14" x14ac:dyDescent="0.2">
      <c r="A54">
        <v>53</v>
      </c>
      <c r="B54">
        <v>101</v>
      </c>
      <c r="C54">
        <v>1</v>
      </c>
      <c r="D54" t="str">
        <f>HLOOKUP(Dados!C54,'Variáveis e códigos'!$C$4:$F$5,2,FALSE)</f>
        <v>Masculino</v>
      </c>
      <c r="E54">
        <v>9</v>
      </c>
      <c r="F54">
        <v>1</v>
      </c>
      <c r="G54">
        <v>1</v>
      </c>
      <c r="H54">
        <v>1</v>
      </c>
      <c r="I54">
        <v>0</v>
      </c>
      <c r="J54">
        <v>2</v>
      </c>
      <c r="K54">
        <v>0</v>
      </c>
      <c r="L54">
        <v>0</v>
      </c>
      <c r="M54">
        <v>2</v>
      </c>
      <c r="N54">
        <v>10</v>
      </c>
    </row>
    <row r="55" spans="1:14" x14ac:dyDescent="0.2">
      <c r="A55">
        <v>54</v>
      </c>
      <c r="B55">
        <v>101</v>
      </c>
      <c r="C55">
        <v>2</v>
      </c>
      <c r="D55" t="str">
        <f>HLOOKUP(Dados!C55,'Variáveis e códigos'!$C$4:$F$5,2,FALSE)</f>
        <v>Feminino</v>
      </c>
      <c r="E55">
        <v>9</v>
      </c>
      <c r="F55">
        <v>1</v>
      </c>
      <c r="G55">
        <v>2</v>
      </c>
      <c r="H55">
        <v>0</v>
      </c>
      <c r="I55">
        <v>0</v>
      </c>
      <c r="J55">
        <v>2</v>
      </c>
      <c r="K55">
        <v>0</v>
      </c>
      <c r="L55">
        <v>0</v>
      </c>
      <c r="M55">
        <v>1</v>
      </c>
      <c r="N55">
        <v>8</v>
      </c>
    </row>
    <row r="56" spans="1:14" x14ac:dyDescent="0.2">
      <c r="A56">
        <v>55</v>
      </c>
      <c r="B56">
        <v>101</v>
      </c>
      <c r="C56">
        <v>2</v>
      </c>
      <c r="D56" t="str">
        <f>HLOOKUP(Dados!C56,'Variáveis e códigos'!$C$4:$F$5,2,FALSE)</f>
        <v>Feminino</v>
      </c>
      <c r="E56">
        <v>9</v>
      </c>
      <c r="F56">
        <v>1</v>
      </c>
      <c r="G56">
        <v>3</v>
      </c>
      <c r="H56">
        <v>0</v>
      </c>
      <c r="I56">
        <v>0</v>
      </c>
      <c r="J56">
        <v>2</v>
      </c>
      <c r="K56">
        <v>0</v>
      </c>
      <c r="L56">
        <v>0</v>
      </c>
      <c r="M56">
        <v>0</v>
      </c>
      <c r="N56">
        <v>9</v>
      </c>
    </row>
    <row r="57" spans="1:14" x14ac:dyDescent="0.2">
      <c r="A57">
        <v>56</v>
      </c>
      <c r="B57">
        <v>101</v>
      </c>
      <c r="C57">
        <v>1</v>
      </c>
      <c r="D57" t="str">
        <f>HLOOKUP(Dados!C57,'Variáveis e códigos'!$C$4:$F$5,2,FALSE)</f>
        <v>Masculino</v>
      </c>
      <c r="E57">
        <v>6</v>
      </c>
      <c r="F57">
        <v>1</v>
      </c>
      <c r="G57">
        <v>2</v>
      </c>
      <c r="H57">
        <v>0</v>
      </c>
      <c r="I57">
        <v>0</v>
      </c>
      <c r="J57">
        <v>2</v>
      </c>
      <c r="K57">
        <v>0</v>
      </c>
      <c r="L57">
        <v>0</v>
      </c>
      <c r="M57">
        <v>2</v>
      </c>
      <c r="N57">
        <v>8</v>
      </c>
    </row>
    <row r="58" spans="1:14" x14ac:dyDescent="0.2">
      <c r="A58">
        <v>57</v>
      </c>
      <c r="B58">
        <v>101</v>
      </c>
      <c r="C58">
        <v>2</v>
      </c>
      <c r="D58" t="str">
        <f>HLOOKUP(Dados!C58,'Variáveis e códigos'!$C$4:$F$5,2,FALSE)</f>
        <v>Feminino</v>
      </c>
      <c r="E58">
        <v>7</v>
      </c>
      <c r="F58">
        <v>1</v>
      </c>
      <c r="G58">
        <v>2</v>
      </c>
      <c r="H58">
        <v>1</v>
      </c>
      <c r="I58">
        <v>0</v>
      </c>
      <c r="J58">
        <v>1</v>
      </c>
      <c r="K58">
        <v>1</v>
      </c>
      <c r="L58">
        <v>1</v>
      </c>
      <c r="M58">
        <v>1</v>
      </c>
      <c r="N58">
        <v>7</v>
      </c>
    </row>
    <row r="59" spans="1:14" x14ac:dyDescent="0.2">
      <c r="A59">
        <v>58</v>
      </c>
      <c r="B59">
        <v>101</v>
      </c>
      <c r="C59">
        <v>2</v>
      </c>
      <c r="D59" t="str">
        <f>HLOOKUP(Dados!C59,'Variáveis e códigos'!$C$4:$F$5,2,FALSE)</f>
        <v>Feminino</v>
      </c>
      <c r="E59">
        <v>7</v>
      </c>
      <c r="F59">
        <v>1</v>
      </c>
      <c r="G59">
        <v>3</v>
      </c>
      <c r="H59">
        <v>1</v>
      </c>
      <c r="I59">
        <v>2</v>
      </c>
      <c r="J59">
        <v>0</v>
      </c>
      <c r="K59">
        <v>0</v>
      </c>
      <c r="L59">
        <v>0</v>
      </c>
      <c r="M59">
        <v>1</v>
      </c>
      <c r="N59">
        <v>8</v>
      </c>
    </row>
    <row r="60" spans="1:14" x14ac:dyDescent="0.2">
      <c r="A60">
        <v>59</v>
      </c>
      <c r="B60">
        <v>101</v>
      </c>
      <c r="C60">
        <v>1</v>
      </c>
      <c r="D60" t="str">
        <f>HLOOKUP(Dados!C60,'Variáveis e códigos'!$C$4:$F$5,2,FALSE)</f>
        <v>Masculino</v>
      </c>
      <c r="E60">
        <v>8</v>
      </c>
      <c r="F60">
        <v>1</v>
      </c>
      <c r="G60">
        <v>99</v>
      </c>
      <c r="H60">
        <v>1</v>
      </c>
      <c r="I60">
        <v>1</v>
      </c>
      <c r="J60">
        <v>1</v>
      </c>
      <c r="K60">
        <v>2</v>
      </c>
      <c r="L60">
        <v>0</v>
      </c>
      <c r="M60">
        <v>0</v>
      </c>
      <c r="N60">
        <v>9</v>
      </c>
    </row>
    <row r="61" spans="1:14" x14ac:dyDescent="0.2">
      <c r="A61">
        <v>60</v>
      </c>
      <c r="B61">
        <v>101</v>
      </c>
      <c r="C61">
        <v>2</v>
      </c>
      <c r="D61" t="str">
        <f>HLOOKUP(Dados!C61,'Variáveis e códigos'!$C$4:$F$5,2,FALSE)</f>
        <v>Feminino</v>
      </c>
      <c r="E61">
        <v>9</v>
      </c>
      <c r="F61">
        <v>1</v>
      </c>
      <c r="G61">
        <v>99</v>
      </c>
      <c r="H61">
        <v>0</v>
      </c>
      <c r="I61">
        <v>0</v>
      </c>
      <c r="J61">
        <v>2</v>
      </c>
      <c r="K61">
        <v>0</v>
      </c>
      <c r="L61">
        <v>1</v>
      </c>
      <c r="M61">
        <v>1</v>
      </c>
      <c r="N61">
        <v>10</v>
      </c>
    </row>
    <row r="62" spans="1:14" x14ac:dyDescent="0.2">
      <c r="A62">
        <v>61</v>
      </c>
      <c r="B62">
        <v>101</v>
      </c>
      <c r="C62">
        <v>2</v>
      </c>
      <c r="D62" t="str">
        <f>HLOOKUP(Dados!C62,'Variáveis e códigos'!$C$4:$F$5,2,FALSE)</f>
        <v>Feminino</v>
      </c>
      <c r="E62">
        <v>6</v>
      </c>
      <c r="F62">
        <v>1</v>
      </c>
      <c r="G62">
        <v>3</v>
      </c>
      <c r="H62">
        <v>0</v>
      </c>
      <c r="I62">
        <v>0</v>
      </c>
      <c r="J62">
        <v>2</v>
      </c>
      <c r="K62">
        <v>0</v>
      </c>
      <c r="L62">
        <v>0</v>
      </c>
      <c r="M62">
        <v>0</v>
      </c>
      <c r="N62">
        <v>8</v>
      </c>
    </row>
    <row r="63" spans="1:14" x14ac:dyDescent="0.2">
      <c r="A63">
        <v>62</v>
      </c>
      <c r="B63">
        <v>101</v>
      </c>
      <c r="C63">
        <v>2</v>
      </c>
      <c r="D63" t="str">
        <f>HLOOKUP(Dados!C63,'Variáveis e códigos'!$C$4:$F$5,2,FALSE)</f>
        <v>Feminino</v>
      </c>
      <c r="E63">
        <v>6</v>
      </c>
      <c r="F63">
        <v>1</v>
      </c>
      <c r="G63">
        <v>1</v>
      </c>
      <c r="H63">
        <v>0</v>
      </c>
      <c r="I63">
        <v>1</v>
      </c>
      <c r="J63">
        <v>2</v>
      </c>
      <c r="K63">
        <v>0</v>
      </c>
      <c r="L63">
        <v>0</v>
      </c>
      <c r="M63">
        <v>1</v>
      </c>
      <c r="N63">
        <v>99</v>
      </c>
    </row>
    <row r="64" spans="1:14" x14ac:dyDescent="0.2">
      <c r="A64">
        <v>63</v>
      </c>
      <c r="B64">
        <v>101</v>
      </c>
      <c r="C64">
        <v>2</v>
      </c>
      <c r="D64" t="str">
        <f>HLOOKUP(Dados!C64,'Variáveis e códigos'!$C$4:$F$5,2,FALSE)</f>
        <v>Feminino</v>
      </c>
      <c r="E64">
        <v>7</v>
      </c>
      <c r="F64">
        <v>1</v>
      </c>
      <c r="G64">
        <v>1</v>
      </c>
      <c r="H64">
        <v>1</v>
      </c>
      <c r="I64">
        <v>0</v>
      </c>
      <c r="J64">
        <v>1</v>
      </c>
      <c r="K64">
        <v>0</v>
      </c>
      <c r="L64">
        <v>0</v>
      </c>
      <c r="M64">
        <v>1</v>
      </c>
      <c r="N64">
        <v>8</v>
      </c>
    </row>
    <row r="65" spans="1:14" x14ac:dyDescent="0.2">
      <c r="A65">
        <v>64</v>
      </c>
      <c r="B65">
        <v>101</v>
      </c>
      <c r="C65">
        <v>1</v>
      </c>
      <c r="D65" t="str">
        <f>HLOOKUP(Dados!C65,'Variáveis e códigos'!$C$4:$F$5,2,FALSE)</f>
        <v>Masculino</v>
      </c>
      <c r="E65">
        <v>7</v>
      </c>
      <c r="F65">
        <v>1</v>
      </c>
      <c r="G65">
        <v>3</v>
      </c>
      <c r="H65">
        <v>0</v>
      </c>
      <c r="I65">
        <v>0</v>
      </c>
      <c r="J65">
        <v>2</v>
      </c>
      <c r="K65">
        <v>1</v>
      </c>
      <c r="L65">
        <v>0</v>
      </c>
      <c r="M65">
        <v>0</v>
      </c>
      <c r="N65">
        <v>9</v>
      </c>
    </row>
    <row r="66" spans="1:14" x14ac:dyDescent="0.2">
      <c r="A66">
        <v>65</v>
      </c>
      <c r="B66">
        <v>101</v>
      </c>
      <c r="C66">
        <v>1</v>
      </c>
      <c r="D66" t="str">
        <f>HLOOKUP(Dados!C66,'Variáveis e códigos'!$C$4:$F$5,2,FALSE)</f>
        <v>Masculino</v>
      </c>
      <c r="E66">
        <v>7</v>
      </c>
      <c r="F66">
        <v>1</v>
      </c>
      <c r="G66">
        <v>1</v>
      </c>
      <c r="H66">
        <v>2</v>
      </c>
      <c r="I66">
        <v>1</v>
      </c>
      <c r="J66">
        <v>1</v>
      </c>
      <c r="K66">
        <v>2</v>
      </c>
      <c r="L66">
        <v>1</v>
      </c>
      <c r="M66">
        <v>0</v>
      </c>
      <c r="N66">
        <v>10</v>
      </c>
    </row>
    <row r="67" spans="1:14" x14ac:dyDescent="0.2">
      <c r="A67">
        <v>66</v>
      </c>
      <c r="B67">
        <v>101</v>
      </c>
      <c r="C67">
        <v>2</v>
      </c>
      <c r="D67" t="str">
        <f>HLOOKUP(Dados!C67,'Variáveis e códigos'!$C$4:$F$5,2,FALSE)</f>
        <v>Feminino</v>
      </c>
      <c r="E67">
        <v>9</v>
      </c>
      <c r="F67">
        <v>1</v>
      </c>
      <c r="G67">
        <v>1</v>
      </c>
      <c r="H67">
        <v>2</v>
      </c>
      <c r="I67">
        <v>2</v>
      </c>
      <c r="J67">
        <v>1</v>
      </c>
      <c r="K67">
        <v>0</v>
      </c>
      <c r="L67">
        <v>1</v>
      </c>
      <c r="M67">
        <v>1</v>
      </c>
      <c r="N67">
        <v>8</v>
      </c>
    </row>
    <row r="68" spans="1:14" x14ac:dyDescent="0.2">
      <c r="A68">
        <v>67</v>
      </c>
      <c r="B68">
        <v>101</v>
      </c>
      <c r="C68">
        <v>1</v>
      </c>
      <c r="D68" t="str">
        <f>HLOOKUP(Dados!C68,'Variáveis e códigos'!$C$4:$F$5,2,FALSE)</f>
        <v>Masculino</v>
      </c>
      <c r="E68">
        <v>7</v>
      </c>
      <c r="F68">
        <v>1</v>
      </c>
      <c r="G68">
        <v>2</v>
      </c>
      <c r="H68">
        <v>0</v>
      </c>
      <c r="I68">
        <v>0</v>
      </c>
      <c r="J68">
        <v>2</v>
      </c>
      <c r="K68">
        <v>0</v>
      </c>
      <c r="L68">
        <v>0</v>
      </c>
      <c r="M68">
        <v>0</v>
      </c>
      <c r="N68">
        <v>99</v>
      </c>
    </row>
    <row r="69" spans="1:14" x14ac:dyDescent="0.2">
      <c r="A69">
        <v>68</v>
      </c>
      <c r="B69">
        <v>101</v>
      </c>
      <c r="C69">
        <v>2</v>
      </c>
      <c r="D69" t="str">
        <f>HLOOKUP(Dados!C69,'Variáveis e códigos'!$C$4:$F$5,2,FALSE)</f>
        <v>Feminino</v>
      </c>
      <c r="E69">
        <v>9</v>
      </c>
      <c r="F69">
        <v>1</v>
      </c>
      <c r="G69">
        <v>1</v>
      </c>
      <c r="H69">
        <v>0</v>
      </c>
      <c r="I69">
        <v>0</v>
      </c>
      <c r="J69">
        <v>2</v>
      </c>
      <c r="K69">
        <v>0</v>
      </c>
      <c r="L69">
        <v>0</v>
      </c>
      <c r="M69">
        <v>0</v>
      </c>
      <c r="N69">
        <v>8</v>
      </c>
    </row>
    <row r="70" spans="1:14" x14ac:dyDescent="0.2">
      <c r="A70">
        <v>69</v>
      </c>
      <c r="B70">
        <v>101</v>
      </c>
      <c r="C70">
        <v>2</v>
      </c>
      <c r="D70" t="str">
        <f>HLOOKUP(Dados!C70,'Variáveis e códigos'!$C$4:$F$5,2,FALSE)</f>
        <v>Feminino</v>
      </c>
      <c r="E70">
        <v>7</v>
      </c>
      <c r="F70">
        <v>1</v>
      </c>
      <c r="G70">
        <v>2</v>
      </c>
      <c r="H70">
        <v>0</v>
      </c>
      <c r="I70">
        <v>0</v>
      </c>
      <c r="J70">
        <v>2</v>
      </c>
      <c r="K70">
        <v>0</v>
      </c>
      <c r="L70">
        <v>0</v>
      </c>
      <c r="M70">
        <v>0</v>
      </c>
      <c r="N70">
        <v>9</v>
      </c>
    </row>
    <row r="71" spans="1:14" x14ac:dyDescent="0.2">
      <c r="A71">
        <v>70</v>
      </c>
      <c r="B71">
        <v>101</v>
      </c>
      <c r="C71">
        <v>1</v>
      </c>
      <c r="D71" t="str">
        <f>HLOOKUP(Dados!C71,'Variáveis e códigos'!$C$4:$F$5,2,FALSE)</f>
        <v>Masculino</v>
      </c>
      <c r="E71">
        <v>9</v>
      </c>
      <c r="F71">
        <v>1</v>
      </c>
      <c r="G71">
        <v>2</v>
      </c>
      <c r="H71">
        <v>1</v>
      </c>
      <c r="I71">
        <v>0</v>
      </c>
      <c r="J71">
        <v>2</v>
      </c>
      <c r="K71">
        <v>0</v>
      </c>
      <c r="L71">
        <v>0</v>
      </c>
      <c r="M71">
        <v>0</v>
      </c>
      <c r="N71">
        <v>10</v>
      </c>
    </row>
    <row r="72" spans="1:14" x14ac:dyDescent="0.2">
      <c r="A72">
        <v>71</v>
      </c>
      <c r="B72">
        <v>101</v>
      </c>
      <c r="C72">
        <v>1</v>
      </c>
      <c r="D72" t="str">
        <f>HLOOKUP(Dados!C72,'Variáveis e códigos'!$C$4:$F$5,2,FALSE)</f>
        <v>Masculino</v>
      </c>
      <c r="E72">
        <v>7</v>
      </c>
      <c r="F72">
        <v>1</v>
      </c>
      <c r="G72">
        <v>1</v>
      </c>
      <c r="H72">
        <v>2</v>
      </c>
      <c r="I72">
        <v>1</v>
      </c>
      <c r="J72">
        <v>1</v>
      </c>
      <c r="K72">
        <v>1</v>
      </c>
      <c r="L72">
        <v>0</v>
      </c>
      <c r="M72">
        <v>0</v>
      </c>
      <c r="N72">
        <v>8</v>
      </c>
    </row>
    <row r="73" spans="1:14" x14ac:dyDescent="0.2">
      <c r="A73">
        <v>72</v>
      </c>
      <c r="B73">
        <v>101</v>
      </c>
      <c r="C73">
        <v>1</v>
      </c>
      <c r="D73" t="str">
        <f>HLOOKUP(Dados!C73,'Variáveis e códigos'!$C$4:$F$5,2,FALSE)</f>
        <v>Masculino</v>
      </c>
      <c r="E73">
        <v>10</v>
      </c>
      <c r="F73">
        <v>1</v>
      </c>
      <c r="G73">
        <v>99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8</v>
      </c>
    </row>
    <row r="74" spans="1:14" x14ac:dyDescent="0.2">
      <c r="A74">
        <v>73</v>
      </c>
      <c r="B74">
        <v>101</v>
      </c>
      <c r="C74">
        <v>2</v>
      </c>
      <c r="D74" t="str">
        <f>HLOOKUP(Dados!C74,'Variáveis e códigos'!$C$4:$F$5,2,FALSE)</f>
        <v>Feminino</v>
      </c>
      <c r="E74">
        <v>4</v>
      </c>
      <c r="F74">
        <v>0</v>
      </c>
      <c r="G74">
        <v>99</v>
      </c>
      <c r="H74">
        <v>2</v>
      </c>
      <c r="I74">
        <v>1</v>
      </c>
      <c r="J74">
        <v>1</v>
      </c>
      <c r="K74">
        <v>1</v>
      </c>
      <c r="L74">
        <v>0</v>
      </c>
      <c r="M74">
        <v>0</v>
      </c>
      <c r="N74">
        <v>9</v>
      </c>
    </row>
    <row r="75" spans="1:14" x14ac:dyDescent="0.2">
      <c r="A75">
        <v>74</v>
      </c>
      <c r="B75">
        <v>101</v>
      </c>
      <c r="C75">
        <v>1</v>
      </c>
      <c r="D75" t="str">
        <f>HLOOKUP(Dados!C75,'Variáveis e códigos'!$C$4:$F$5,2,FALSE)</f>
        <v>Masculino</v>
      </c>
      <c r="E75">
        <v>7</v>
      </c>
      <c r="F75">
        <v>1</v>
      </c>
      <c r="G75">
        <v>2</v>
      </c>
      <c r="H75">
        <v>2</v>
      </c>
      <c r="I75">
        <v>0</v>
      </c>
      <c r="J75">
        <v>1</v>
      </c>
      <c r="K75">
        <v>1</v>
      </c>
      <c r="L75">
        <v>0</v>
      </c>
      <c r="M75">
        <v>0</v>
      </c>
      <c r="N75">
        <v>10</v>
      </c>
    </row>
    <row r="76" spans="1:14" x14ac:dyDescent="0.2">
      <c r="A76">
        <v>75</v>
      </c>
      <c r="B76">
        <v>101</v>
      </c>
      <c r="C76">
        <v>2</v>
      </c>
      <c r="D76" t="str">
        <f>HLOOKUP(Dados!C76,'Variáveis e códigos'!$C$4:$F$5,2,FALSE)</f>
        <v>Feminino</v>
      </c>
      <c r="E76">
        <v>7</v>
      </c>
      <c r="F76">
        <v>1</v>
      </c>
      <c r="G76">
        <v>1</v>
      </c>
      <c r="H76">
        <v>1</v>
      </c>
      <c r="I76">
        <v>0</v>
      </c>
      <c r="J76">
        <v>2</v>
      </c>
      <c r="K76">
        <v>0</v>
      </c>
      <c r="L76">
        <v>0</v>
      </c>
      <c r="M76">
        <v>0</v>
      </c>
      <c r="N76">
        <v>7</v>
      </c>
    </row>
    <row r="77" spans="1:14" x14ac:dyDescent="0.2">
      <c r="A77">
        <v>76</v>
      </c>
      <c r="B77">
        <v>101</v>
      </c>
      <c r="C77">
        <v>1</v>
      </c>
      <c r="D77" t="str">
        <f>HLOOKUP(Dados!C77,'Variáveis e códigos'!$C$4:$F$5,2,FALSE)</f>
        <v>Masculino</v>
      </c>
      <c r="E77">
        <v>8</v>
      </c>
      <c r="F77">
        <v>1</v>
      </c>
      <c r="G77">
        <v>2</v>
      </c>
      <c r="H77">
        <v>0</v>
      </c>
      <c r="I77">
        <v>1</v>
      </c>
      <c r="J77">
        <v>0</v>
      </c>
      <c r="K77">
        <v>1</v>
      </c>
      <c r="L77">
        <v>0</v>
      </c>
      <c r="M77">
        <v>1</v>
      </c>
      <c r="N77">
        <v>10</v>
      </c>
    </row>
    <row r="78" spans="1:14" x14ac:dyDescent="0.2">
      <c r="A78">
        <v>77</v>
      </c>
      <c r="B78">
        <v>101</v>
      </c>
      <c r="C78">
        <v>1</v>
      </c>
      <c r="D78" t="str">
        <f>HLOOKUP(Dados!C78,'Variáveis e códigos'!$C$4:$F$5,2,FALSE)</f>
        <v>Masculino</v>
      </c>
      <c r="E78">
        <v>9</v>
      </c>
      <c r="F78">
        <v>1</v>
      </c>
      <c r="G78">
        <v>2</v>
      </c>
      <c r="H78">
        <v>2</v>
      </c>
      <c r="I78">
        <v>0</v>
      </c>
      <c r="J78">
        <v>1</v>
      </c>
      <c r="K78">
        <v>0</v>
      </c>
      <c r="L78">
        <v>0</v>
      </c>
      <c r="M78">
        <v>99</v>
      </c>
      <c r="N78">
        <v>8</v>
      </c>
    </row>
    <row r="79" spans="1:14" x14ac:dyDescent="0.2">
      <c r="A79">
        <v>78</v>
      </c>
      <c r="B79">
        <v>101</v>
      </c>
      <c r="C79">
        <v>2</v>
      </c>
      <c r="D79" t="str">
        <f>HLOOKUP(Dados!C79,'Variáveis e códigos'!$C$4:$F$5,2,FALSE)</f>
        <v>Feminino</v>
      </c>
      <c r="E79">
        <v>9</v>
      </c>
      <c r="F79">
        <v>1</v>
      </c>
      <c r="G79">
        <v>1</v>
      </c>
      <c r="H79">
        <v>0</v>
      </c>
      <c r="I79">
        <v>0</v>
      </c>
      <c r="J79">
        <v>2</v>
      </c>
      <c r="K79">
        <v>0</v>
      </c>
      <c r="L79">
        <v>0</v>
      </c>
      <c r="M79">
        <v>1</v>
      </c>
      <c r="N79">
        <v>8</v>
      </c>
    </row>
    <row r="80" spans="1:14" x14ac:dyDescent="0.2">
      <c r="A80">
        <v>79</v>
      </c>
      <c r="B80">
        <v>101</v>
      </c>
      <c r="C80">
        <v>1</v>
      </c>
      <c r="D80" t="str">
        <f>HLOOKUP(Dados!C80,'Variáveis e códigos'!$C$4:$F$5,2,FALSE)</f>
        <v>Masculino</v>
      </c>
      <c r="E80">
        <v>6</v>
      </c>
      <c r="F80">
        <v>1</v>
      </c>
      <c r="G80">
        <v>2</v>
      </c>
      <c r="H80">
        <v>2</v>
      </c>
      <c r="I80">
        <v>1</v>
      </c>
      <c r="J80">
        <v>1</v>
      </c>
      <c r="K80">
        <v>1</v>
      </c>
      <c r="L80">
        <v>0</v>
      </c>
      <c r="M80">
        <v>0</v>
      </c>
      <c r="N80">
        <v>8</v>
      </c>
    </row>
    <row r="81" spans="1:14" x14ac:dyDescent="0.2">
      <c r="A81">
        <v>80</v>
      </c>
      <c r="B81">
        <v>101</v>
      </c>
      <c r="C81">
        <v>1</v>
      </c>
      <c r="D81" t="str">
        <f>HLOOKUP(Dados!C81,'Variáveis e códigos'!$C$4:$F$5,2,FALSE)</f>
        <v>Masculino</v>
      </c>
      <c r="E81">
        <v>7</v>
      </c>
      <c r="F81">
        <v>1</v>
      </c>
      <c r="G81">
        <v>3</v>
      </c>
      <c r="H81">
        <v>0</v>
      </c>
      <c r="I81">
        <v>0</v>
      </c>
      <c r="J81">
        <v>2</v>
      </c>
      <c r="K81">
        <v>0</v>
      </c>
      <c r="L81">
        <v>0</v>
      </c>
      <c r="M81">
        <v>0</v>
      </c>
      <c r="N81">
        <v>9</v>
      </c>
    </row>
    <row r="82" spans="1:14" x14ac:dyDescent="0.2">
      <c r="A82">
        <v>81</v>
      </c>
      <c r="B82">
        <v>101</v>
      </c>
      <c r="C82">
        <v>2</v>
      </c>
      <c r="D82" t="str">
        <f>HLOOKUP(Dados!C82,'Variáveis e códigos'!$C$4:$F$5,2,FALSE)</f>
        <v>Feminino</v>
      </c>
      <c r="E82">
        <v>3</v>
      </c>
      <c r="F82">
        <v>0</v>
      </c>
      <c r="G82">
        <v>1</v>
      </c>
      <c r="H82">
        <v>2</v>
      </c>
      <c r="I82">
        <v>0</v>
      </c>
      <c r="J82">
        <v>2</v>
      </c>
      <c r="K82">
        <v>0</v>
      </c>
      <c r="L82">
        <v>0</v>
      </c>
      <c r="M82">
        <v>0</v>
      </c>
      <c r="N82">
        <v>9</v>
      </c>
    </row>
    <row r="83" spans="1:14" x14ac:dyDescent="0.2">
      <c r="A83">
        <v>82</v>
      </c>
      <c r="B83">
        <v>101</v>
      </c>
      <c r="C83">
        <v>1</v>
      </c>
      <c r="D83" t="str">
        <f>HLOOKUP(Dados!C83,'Variáveis e códigos'!$C$4:$F$5,2,FALSE)</f>
        <v>Masculino</v>
      </c>
      <c r="E83">
        <v>9</v>
      </c>
      <c r="F83">
        <v>1</v>
      </c>
      <c r="G83">
        <v>1</v>
      </c>
      <c r="H83">
        <v>2</v>
      </c>
      <c r="I83">
        <v>2</v>
      </c>
      <c r="J83">
        <v>0</v>
      </c>
      <c r="K83">
        <v>2</v>
      </c>
      <c r="L83">
        <v>1</v>
      </c>
      <c r="M83">
        <v>1</v>
      </c>
      <c r="N83">
        <v>8</v>
      </c>
    </row>
    <row r="84" spans="1:14" x14ac:dyDescent="0.2">
      <c r="A84">
        <v>83</v>
      </c>
      <c r="B84">
        <v>101</v>
      </c>
      <c r="C84">
        <v>2</v>
      </c>
      <c r="D84" t="str">
        <f>HLOOKUP(Dados!C84,'Variáveis e códigos'!$C$4:$F$5,2,FALSE)</f>
        <v>Feminino</v>
      </c>
      <c r="E84">
        <v>8</v>
      </c>
      <c r="F84">
        <v>1</v>
      </c>
      <c r="G84">
        <v>1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9</v>
      </c>
    </row>
    <row r="85" spans="1:14" x14ac:dyDescent="0.2">
      <c r="A85">
        <v>84</v>
      </c>
      <c r="B85">
        <v>101</v>
      </c>
      <c r="C85">
        <v>1</v>
      </c>
      <c r="D85" t="str">
        <f>HLOOKUP(Dados!C85,'Variáveis e códigos'!$C$4:$F$5,2,FALSE)</f>
        <v>Masculino</v>
      </c>
      <c r="E85">
        <v>10</v>
      </c>
      <c r="F85">
        <v>1</v>
      </c>
      <c r="G85">
        <v>3</v>
      </c>
      <c r="H85">
        <v>2</v>
      </c>
      <c r="I85">
        <v>0</v>
      </c>
      <c r="J85">
        <v>1</v>
      </c>
      <c r="K85">
        <v>1</v>
      </c>
      <c r="L85">
        <v>2</v>
      </c>
      <c r="M85">
        <v>0</v>
      </c>
      <c r="N85">
        <v>8</v>
      </c>
    </row>
    <row r="86" spans="1:14" x14ac:dyDescent="0.2">
      <c r="A86">
        <v>85</v>
      </c>
      <c r="B86">
        <v>101</v>
      </c>
      <c r="C86">
        <v>1</v>
      </c>
      <c r="D86" t="str">
        <f>HLOOKUP(Dados!C86,'Variáveis e códigos'!$C$4:$F$5,2,FALSE)</f>
        <v>Masculino</v>
      </c>
      <c r="E86">
        <v>9</v>
      </c>
      <c r="F86">
        <v>1</v>
      </c>
      <c r="G86">
        <v>1</v>
      </c>
      <c r="H86">
        <v>0</v>
      </c>
      <c r="I86">
        <v>0</v>
      </c>
      <c r="J86">
        <v>2</v>
      </c>
      <c r="K86">
        <v>0</v>
      </c>
      <c r="L86">
        <v>1</v>
      </c>
      <c r="M86">
        <v>99</v>
      </c>
      <c r="N86">
        <v>8</v>
      </c>
    </row>
    <row r="87" spans="1:14" x14ac:dyDescent="0.2">
      <c r="A87">
        <v>86</v>
      </c>
      <c r="B87">
        <v>101</v>
      </c>
      <c r="C87">
        <v>1</v>
      </c>
      <c r="D87" t="str">
        <f>HLOOKUP(Dados!C87,'Variáveis e códigos'!$C$4:$F$5,2,FALSE)</f>
        <v>Masculino</v>
      </c>
      <c r="E87">
        <v>9</v>
      </c>
      <c r="F87">
        <v>1</v>
      </c>
      <c r="G87">
        <v>1</v>
      </c>
      <c r="H87">
        <v>0</v>
      </c>
      <c r="I87">
        <v>0</v>
      </c>
      <c r="J87">
        <v>2</v>
      </c>
      <c r="K87">
        <v>0</v>
      </c>
      <c r="L87">
        <v>0</v>
      </c>
      <c r="M87">
        <v>0</v>
      </c>
      <c r="N87">
        <v>9</v>
      </c>
    </row>
    <row r="88" spans="1:14" x14ac:dyDescent="0.2">
      <c r="A88">
        <v>87</v>
      </c>
      <c r="B88">
        <v>101</v>
      </c>
      <c r="C88">
        <v>1</v>
      </c>
      <c r="D88" t="str">
        <f>HLOOKUP(Dados!C88,'Variáveis e códigos'!$C$4:$F$5,2,FALSE)</f>
        <v>Masculino</v>
      </c>
      <c r="E88">
        <v>6</v>
      </c>
      <c r="F88">
        <v>1</v>
      </c>
      <c r="G88">
        <v>2</v>
      </c>
      <c r="H88">
        <v>1</v>
      </c>
      <c r="I88">
        <v>0</v>
      </c>
      <c r="J88">
        <v>2</v>
      </c>
      <c r="K88">
        <v>0</v>
      </c>
      <c r="L88">
        <v>0</v>
      </c>
      <c r="M88">
        <v>0</v>
      </c>
      <c r="N88">
        <v>8</v>
      </c>
    </row>
    <row r="89" spans="1:14" x14ac:dyDescent="0.2">
      <c r="A89">
        <v>88</v>
      </c>
      <c r="B89">
        <v>101</v>
      </c>
      <c r="C89">
        <v>1</v>
      </c>
      <c r="D89" t="str">
        <f>HLOOKUP(Dados!C89,'Variáveis e códigos'!$C$4:$F$5,2,FALSE)</f>
        <v>Masculino</v>
      </c>
      <c r="E89">
        <v>7</v>
      </c>
      <c r="F89">
        <v>1</v>
      </c>
      <c r="G89">
        <v>2</v>
      </c>
      <c r="H89">
        <v>0</v>
      </c>
      <c r="I89">
        <v>0</v>
      </c>
      <c r="J89">
        <v>2</v>
      </c>
      <c r="K89">
        <v>0</v>
      </c>
      <c r="L89">
        <v>0</v>
      </c>
      <c r="M89">
        <v>0</v>
      </c>
      <c r="N89">
        <v>8</v>
      </c>
    </row>
    <row r="90" spans="1:14" x14ac:dyDescent="0.2">
      <c r="A90">
        <v>89</v>
      </c>
      <c r="B90">
        <v>101</v>
      </c>
      <c r="C90">
        <v>2</v>
      </c>
      <c r="D90" t="str">
        <f>HLOOKUP(Dados!C90,'Variáveis e códigos'!$C$4:$F$5,2,FALSE)</f>
        <v>Feminino</v>
      </c>
      <c r="E90">
        <v>7</v>
      </c>
      <c r="F90">
        <v>1</v>
      </c>
      <c r="G90">
        <v>3</v>
      </c>
      <c r="H90">
        <v>0</v>
      </c>
      <c r="I90">
        <v>0</v>
      </c>
      <c r="J90">
        <v>2</v>
      </c>
      <c r="K90">
        <v>0</v>
      </c>
      <c r="L90">
        <v>0</v>
      </c>
      <c r="M90">
        <v>2</v>
      </c>
      <c r="N90">
        <v>99</v>
      </c>
    </row>
    <row r="91" spans="1:14" x14ac:dyDescent="0.2">
      <c r="A91">
        <v>90</v>
      </c>
      <c r="B91">
        <v>101</v>
      </c>
      <c r="C91">
        <v>1</v>
      </c>
      <c r="D91" t="str">
        <f>HLOOKUP(Dados!C91,'Variáveis e códigos'!$C$4:$F$5,2,FALSE)</f>
        <v>Masculino</v>
      </c>
      <c r="E91">
        <v>8</v>
      </c>
      <c r="F91">
        <v>1</v>
      </c>
      <c r="G91">
        <v>2</v>
      </c>
      <c r="H91">
        <v>0</v>
      </c>
      <c r="I91">
        <v>0</v>
      </c>
      <c r="J91">
        <v>2</v>
      </c>
      <c r="K91">
        <v>0</v>
      </c>
      <c r="L91">
        <v>0</v>
      </c>
      <c r="M91">
        <v>0</v>
      </c>
      <c r="N91">
        <v>9</v>
      </c>
    </row>
    <row r="92" spans="1:14" x14ac:dyDescent="0.2">
      <c r="A92">
        <v>91</v>
      </c>
      <c r="B92">
        <v>101</v>
      </c>
      <c r="C92">
        <v>2</v>
      </c>
      <c r="D92" t="str">
        <f>HLOOKUP(Dados!C92,'Variáveis e códigos'!$C$4:$F$5,2,FALSE)</f>
        <v>Feminino</v>
      </c>
      <c r="E92">
        <v>9</v>
      </c>
      <c r="F92">
        <v>1</v>
      </c>
      <c r="G92">
        <v>2</v>
      </c>
      <c r="H92">
        <v>0</v>
      </c>
      <c r="I92">
        <v>0</v>
      </c>
      <c r="J92">
        <v>2</v>
      </c>
      <c r="K92">
        <v>0</v>
      </c>
      <c r="L92">
        <v>0</v>
      </c>
      <c r="M92">
        <v>1</v>
      </c>
      <c r="N92">
        <v>9</v>
      </c>
    </row>
    <row r="93" spans="1:14" x14ac:dyDescent="0.2">
      <c r="A93">
        <v>92</v>
      </c>
      <c r="B93">
        <v>101</v>
      </c>
      <c r="C93">
        <v>2</v>
      </c>
      <c r="D93" t="str">
        <f>HLOOKUP(Dados!C93,'Variáveis e códigos'!$C$4:$F$5,2,FALSE)</f>
        <v>Feminino</v>
      </c>
      <c r="E93">
        <v>7</v>
      </c>
      <c r="F93">
        <v>1</v>
      </c>
      <c r="G93">
        <v>2</v>
      </c>
      <c r="H93">
        <v>0</v>
      </c>
      <c r="I93">
        <v>0</v>
      </c>
      <c r="J93">
        <v>2</v>
      </c>
      <c r="K93">
        <v>0</v>
      </c>
      <c r="L93">
        <v>0</v>
      </c>
      <c r="M93">
        <v>0</v>
      </c>
      <c r="N93">
        <v>10</v>
      </c>
    </row>
    <row r="94" spans="1:14" x14ac:dyDescent="0.2">
      <c r="A94">
        <v>93</v>
      </c>
      <c r="B94">
        <v>101</v>
      </c>
      <c r="C94">
        <v>1</v>
      </c>
      <c r="D94" t="str">
        <f>HLOOKUP(Dados!C94,'Variáveis e códigos'!$C$4:$F$5,2,FALSE)</f>
        <v>Masculino</v>
      </c>
      <c r="E94">
        <v>8</v>
      </c>
      <c r="F94">
        <v>1</v>
      </c>
      <c r="G94">
        <v>3</v>
      </c>
      <c r="H94">
        <v>1</v>
      </c>
      <c r="I94">
        <v>0</v>
      </c>
      <c r="J94">
        <v>2</v>
      </c>
      <c r="K94">
        <v>0</v>
      </c>
      <c r="L94">
        <v>0</v>
      </c>
      <c r="M94">
        <v>1</v>
      </c>
      <c r="N94">
        <v>7</v>
      </c>
    </row>
    <row r="95" spans="1:14" x14ac:dyDescent="0.2">
      <c r="A95">
        <v>94</v>
      </c>
      <c r="B95">
        <v>101</v>
      </c>
      <c r="C95">
        <v>1</v>
      </c>
      <c r="D95" t="str">
        <f>HLOOKUP(Dados!C95,'Variáveis e códigos'!$C$4:$F$5,2,FALSE)</f>
        <v>Masculino</v>
      </c>
      <c r="E95">
        <v>9</v>
      </c>
      <c r="F95">
        <v>1</v>
      </c>
      <c r="G95">
        <v>99</v>
      </c>
      <c r="H95">
        <v>0</v>
      </c>
      <c r="I95">
        <v>0</v>
      </c>
      <c r="J95">
        <v>2</v>
      </c>
      <c r="K95">
        <v>0</v>
      </c>
      <c r="L95">
        <v>0</v>
      </c>
      <c r="M95">
        <v>0</v>
      </c>
      <c r="N95">
        <v>7</v>
      </c>
    </row>
    <row r="96" spans="1:14" x14ac:dyDescent="0.2">
      <c r="A96">
        <v>95</v>
      </c>
      <c r="B96">
        <v>101</v>
      </c>
      <c r="C96">
        <v>2</v>
      </c>
      <c r="D96" t="str">
        <f>HLOOKUP(Dados!C96,'Variáveis e códigos'!$C$4:$F$5,2,FALSE)</f>
        <v>Feminino</v>
      </c>
      <c r="E96">
        <v>8</v>
      </c>
      <c r="F96">
        <v>1</v>
      </c>
      <c r="G96">
        <v>2</v>
      </c>
      <c r="H96">
        <v>0</v>
      </c>
      <c r="I96">
        <v>0</v>
      </c>
      <c r="J96">
        <v>2</v>
      </c>
      <c r="K96">
        <v>0</v>
      </c>
      <c r="L96">
        <v>0</v>
      </c>
      <c r="M96">
        <v>0</v>
      </c>
      <c r="N96">
        <v>8</v>
      </c>
    </row>
    <row r="97" spans="1:14" x14ac:dyDescent="0.2">
      <c r="A97">
        <v>96</v>
      </c>
      <c r="B97">
        <v>101</v>
      </c>
      <c r="C97">
        <v>1</v>
      </c>
      <c r="D97" t="str">
        <f>HLOOKUP(Dados!C97,'Variáveis e códigos'!$C$4:$F$5,2,FALSE)</f>
        <v>Masculino</v>
      </c>
      <c r="E97">
        <v>8</v>
      </c>
      <c r="F97">
        <v>1</v>
      </c>
      <c r="G97">
        <v>3</v>
      </c>
      <c r="H97">
        <v>0</v>
      </c>
      <c r="I97">
        <v>0</v>
      </c>
      <c r="J97">
        <v>2</v>
      </c>
      <c r="K97">
        <v>0</v>
      </c>
      <c r="L97">
        <v>0</v>
      </c>
      <c r="M97">
        <v>0</v>
      </c>
      <c r="N97">
        <v>99</v>
      </c>
    </row>
    <row r="98" spans="1:14" x14ac:dyDescent="0.2">
      <c r="A98">
        <v>97</v>
      </c>
      <c r="B98">
        <v>101</v>
      </c>
      <c r="C98">
        <v>2</v>
      </c>
      <c r="D98" t="str">
        <f>HLOOKUP(Dados!C98,'Variáveis e códigos'!$C$4:$F$5,2,FALSE)</f>
        <v>Feminino</v>
      </c>
      <c r="E98">
        <v>8</v>
      </c>
      <c r="F98">
        <v>1</v>
      </c>
      <c r="G98">
        <v>1</v>
      </c>
      <c r="H98">
        <v>0</v>
      </c>
      <c r="I98">
        <v>0</v>
      </c>
      <c r="J98">
        <v>2</v>
      </c>
      <c r="K98">
        <v>0</v>
      </c>
      <c r="L98">
        <v>0</v>
      </c>
      <c r="M98">
        <v>2</v>
      </c>
      <c r="N98">
        <v>10</v>
      </c>
    </row>
    <row r="99" spans="1:14" x14ac:dyDescent="0.2">
      <c r="A99">
        <v>98</v>
      </c>
      <c r="B99">
        <v>101</v>
      </c>
      <c r="C99">
        <v>2</v>
      </c>
      <c r="D99" t="str">
        <f>HLOOKUP(Dados!C99,'Variáveis e códigos'!$C$4:$F$5,2,FALSE)</f>
        <v>Feminino</v>
      </c>
      <c r="E99">
        <v>8</v>
      </c>
      <c r="F99">
        <v>1</v>
      </c>
      <c r="G99">
        <v>1</v>
      </c>
      <c r="H99">
        <v>0</v>
      </c>
      <c r="I99">
        <v>0</v>
      </c>
      <c r="J99">
        <v>2</v>
      </c>
      <c r="K99">
        <v>0</v>
      </c>
      <c r="L99">
        <v>1</v>
      </c>
      <c r="M99">
        <v>1</v>
      </c>
      <c r="N99">
        <v>8</v>
      </c>
    </row>
    <row r="100" spans="1:14" x14ac:dyDescent="0.2">
      <c r="A100">
        <v>99</v>
      </c>
      <c r="B100">
        <v>101</v>
      </c>
      <c r="C100">
        <v>2</v>
      </c>
      <c r="D100" t="str">
        <f>HLOOKUP(Dados!C100,'Variáveis e códigos'!$C$4:$F$5,2,FALSE)</f>
        <v>Feminino</v>
      </c>
      <c r="E100">
        <v>8</v>
      </c>
      <c r="F100">
        <v>1</v>
      </c>
      <c r="G100">
        <v>3</v>
      </c>
      <c r="H100">
        <v>0</v>
      </c>
      <c r="I100">
        <v>0</v>
      </c>
      <c r="J100">
        <v>2</v>
      </c>
      <c r="K100">
        <v>1</v>
      </c>
      <c r="L100">
        <v>0</v>
      </c>
      <c r="M100">
        <v>1</v>
      </c>
      <c r="N100">
        <v>8</v>
      </c>
    </row>
    <row r="101" spans="1:14" x14ac:dyDescent="0.2">
      <c r="A101">
        <v>100</v>
      </c>
      <c r="B101">
        <v>101</v>
      </c>
      <c r="C101">
        <v>1</v>
      </c>
      <c r="D101" t="str">
        <f>HLOOKUP(Dados!C101,'Variáveis e códigos'!$C$4:$F$5,2,FALSE)</f>
        <v>Masculino</v>
      </c>
      <c r="E101">
        <v>8</v>
      </c>
      <c r="F101">
        <v>1</v>
      </c>
      <c r="G101">
        <v>2</v>
      </c>
      <c r="H101">
        <v>0</v>
      </c>
      <c r="I101">
        <v>0</v>
      </c>
      <c r="J101">
        <v>2</v>
      </c>
      <c r="K101">
        <v>0</v>
      </c>
      <c r="L101">
        <v>0</v>
      </c>
      <c r="M101">
        <v>0</v>
      </c>
      <c r="N101">
        <v>9</v>
      </c>
    </row>
    <row r="102" spans="1:14" x14ac:dyDescent="0.2">
      <c r="A102">
        <v>101</v>
      </c>
      <c r="B102">
        <v>101</v>
      </c>
      <c r="C102">
        <v>1</v>
      </c>
      <c r="D102" t="str">
        <f>HLOOKUP(Dados!C102,'Variáveis e códigos'!$C$4:$F$5,2,FALSE)</f>
        <v>Masculino</v>
      </c>
      <c r="E102">
        <v>6</v>
      </c>
      <c r="F102">
        <v>1</v>
      </c>
      <c r="G102">
        <v>3</v>
      </c>
      <c r="H102">
        <v>2</v>
      </c>
      <c r="I102">
        <v>0</v>
      </c>
      <c r="J102">
        <v>1</v>
      </c>
      <c r="K102">
        <v>0</v>
      </c>
      <c r="L102">
        <v>0</v>
      </c>
      <c r="M102">
        <v>0</v>
      </c>
      <c r="N102">
        <v>9</v>
      </c>
    </row>
    <row r="103" spans="1:14" x14ac:dyDescent="0.2">
      <c r="A103">
        <v>102</v>
      </c>
      <c r="B103">
        <v>101</v>
      </c>
      <c r="C103">
        <v>1</v>
      </c>
      <c r="D103" t="str">
        <f>HLOOKUP(Dados!C103,'Variáveis e códigos'!$C$4:$F$5,2,FALSE)</f>
        <v>Masculino</v>
      </c>
      <c r="E103">
        <v>6</v>
      </c>
      <c r="F103">
        <v>1</v>
      </c>
      <c r="G103">
        <v>1</v>
      </c>
      <c r="H103">
        <v>2</v>
      </c>
      <c r="I103">
        <v>0</v>
      </c>
      <c r="J103">
        <v>1</v>
      </c>
      <c r="K103">
        <v>1</v>
      </c>
      <c r="L103">
        <v>0</v>
      </c>
      <c r="M103">
        <v>0</v>
      </c>
      <c r="N103">
        <v>9</v>
      </c>
    </row>
    <row r="104" spans="1:14" x14ac:dyDescent="0.2">
      <c r="A104">
        <v>103</v>
      </c>
      <c r="B104">
        <v>101</v>
      </c>
      <c r="C104">
        <v>2</v>
      </c>
      <c r="D104" t="str">
        <f>HLOOKUP(Dados!C104,'Variáveis e códigos'!$C$4:$F$5,2,FALSE)</f>
        <v>Feminino</v>
      </c>
      <c r="E104">
        <v>6</v>
      </c>
      <c r="F104">
        <v>1</v>
      </c>
      <c r="G104">
        <v>1</v>
      </c>
      <c r="H104">
        <v>1</v>
      </c>
      <c r="I104">
        <v>0</v>
      </c>
      <c r="J104">
        <v>2</v>
      </c>
      <c r="K104">
        <v>0</v>
      </c>
      <c r="L104">
        <v>0</v>
      </c>
      <c r="M104">
        <v>1</v>
      </c>
      <c r="N104">
        <v>9</v>
      </c>
    </row>
    <row r="105" spans="1:14" x14ac:dyDescent="0.2">
      <c r="A105">
        <v>104</v>
      </c>
      <c r="B105">
        <v>101</v>
      </c>
      <c r="C105">
        <v>1</v>
      </c>
      <c r="D105" t="str">
        <f>HLOOKUP(Dados!C105,'Variáveis e códigos'!$C$4:$F$5,2,FALSE)</f>
        <v>Masculino</v>
      </c>
      <c r="E105">
        <v>6</v>
      </c>
      <c r="F105">
        <v>1</v>
      </c>
      <c r="G105">
        <v>2</v>
      </c>
      <c r="H105">
        <v>2</v>
      </c>
      <c r="I105">
        <v>0</v>
      </c>
      <c r="J105">
        <v>1</v>
      </c>
      <c r="K105">
        <v>2</v>
      </c>
      <c r="L105">
        <v>0</v>
      </c>
      <c r="M105">
        <v>0</v>
      </c>
      <c r="N105">
        <v>10</v>
      </c>
    </row>
    <row r="106" spans="1:14" x14ac:dyDescent="0.2">
      <c r="A106">
        <v>105</v>
      </c>
      <c r="B106">
        <v>101</v>
      </c>
      <c r="C106">
        <v>2</v>
      </c>
      <c r="D106" t="str">
        <f>HLOOKUP(Dados!C106,'Variáveis e códigos'!$C$4:$F$5,2,FALSE)</f>
        <v>Feminino</v>
      </c>
      <c r="E106">
        <v>8</v>
      </c>
      <c r="F106">
        <v>1</v>
      </c>
      <c r="G106">
        <v>2</v>
      </c>
      <c r="H106">
        <v>0</v>
      </c>
      <c r="I106">
        <v>0</v>
      </c>
      <c r="J106">
        <v>2</v>
      </c>
      <c r="K106">
        <v>0</v>
      </c>
      <c r="L106">
        <v>1</v>
      </c>
      <c r="M106">
        <v>1</v>
      </c>
      <c r="N106">
        <v>9</v>
      </c>
    </row>
    <row r="107" spans="1:14" x14ac:dyDescent="0.2">
      <c r="A107">
        <v>106</v>
      </c>
      <c r="B107">
        <v>101</v>
      </c>
      <c r="C107">
        <v>1</v>
      </c>
      <c r="D107" t="str">
        <f>HLOOKUP(Dados!C107,'Variáveis e códigos'!$C$4:$F$5,2,FALSE)</f>
        <v>Masculino</v>
      </c>
      <c r="E107">
        <v>9</v>
      </c>
      <c r="F107">
        <v>1</v>
      </c>
      <c r="G107">
        <v>1</v>
      </c>
      <c r="H107">
        <v>0</v>
      </c>
      <c r="I107">
        <v>0</v>
      </c>
      <c r="J107">
        <v>2</v>
      </c>
      <c r="K107">
        <v>0</v>
      </c>
      <c r="L107">
        <v>0</v>
      </c>
      <c r="M107">
        <v>99</v>
      </c>
      <c r="N107">
        <v>8</v>
      </c>
    </row>
    <row r="108" spans="1:14" x14ac:dyDescent="0.2">
      <c r="A108">
        <v>107</v>
      </c>
      <c r="B108">
        <v>101</v>
      </c>
      <c r="C108">
        <v>2</v>
      </c>
      <c r="D108" t="str">
        <f>HLOOKUP(Dados!C108,'Variáveis e códigos'!$C$4:$F$5,2,FALSE)</f>
        <v>Feminino</v>
      </c>
      <c r="E108">
        <v>9</v>
      </c>
      <c r="F108">
        <v>1</v>
      </c>
      <c r="G108">
        <v>2</v>
      </c>
      <c r="H108">
        <v>0</v>
      </c>
      <c r="I108">
        <v>0</v>
      </c>
      <c r="J108">
        <v>2</v>
      </c>
      <c r="K108">
        <v>0</v>
      </c>
      <c r="L108">
        <v>0</v>
      </c>
      <c r="M108">
        <v>2</v>
      </c>
      <c r="N108">
        <v>10</v>
      </c>
    </row>
    <row r="109" spans="1:14" x14ac:dyDescent="0.2">
      <c r="A109">
        <v>108</v>
      </c>
      <c r="B109">
        <v>101</v>
      </c>
      <c r="C109">
        <v>2</v>
      </c>
      <c r="D109" t="str">
        <f>HLOOKUP(Dados!C109,'Variáveis e códigos'!$C$4:$F$5,2,FALSE)</f>
        <v>Feminino</v>
      </c>
      <c r="E109">
        <v>5</v>
      </c>
      <c r="F109">
        <v>1</v>
      </c>
      <c r="G109">
        <v>99</v>
      </c>
      <c r="H109">
        <v>2</v>
      </c>
      <c r="I109">
        <v>0</v>
      </c>
      <c r="J109">
        <v>1</v>
      </c>
      <c r="K109">
        <v>0</v>
      </c>
      <c r="L109">
        <v>1</v>
      </c>
      <c r="M109">
        <v>1</v>
      </c>
      <c r="N109">
        <v>10</v>
      </c>
    </row>
    <row r="110" spans="1:14" x14ac:dyDescent="0.2">
      <c r="A110">
        <v>109</v>
      </c>
      <c r="B110">
        <v>101</v>
      </c>
      <c r="C110">
        <v>2</v>
      </c>
      <c r="D110" t="str">
        <f>HLOOKUP(Dados!C110,'Variáveis e códigos'!$C$4:$F$5,2,FALSE)</f>
        <v>Feminino</v>
      </c>
      <c r="E110">
        <v>6</v>
      </c>
      <c r="F110">
        <v>1</v>
      </c>
      <c r="G110">
        <v>1</v>
      </c>
      <c r="H110">
        <v>2</v>
      </c>
      <c r="I110">
        <v>2</v>
      </c>
      <c r="J110">
        <v>2</v>
      </c>
      <c r="K110">
        <v>2</v>
      </c>
      <c r="L110">
        <v>2</v>
      </c>
      <c r="M110">
        <v>2</v>
      </c>
      <c r="N110">
        <v>9</v>
      </c>
    </row>
    <row r="111" spans="1:14" x14ac:dyDescent="0.2">
      <c r="A111">
        <v>110</v>
      </c>
      <c r="B111">
        <v>101</v>
      </c>
      <c r="C111">
        <v>1</v>
      </c>
      <c r="D111" t="str">
        <f>HLOOKUP(Dados!C111,'Variáveis e códigos'!$C$4:$F$5,2,FALSE)</f>
        <v>Masculino</v>
      </c>
      <c r="E111">
        <v>7</v>
      </c>
      <c r="F111">
        <v>1</v>
      </c>
      <c r="G111">
        <v>2</v>
      </c>
      <c r="H111">
        <v>2</v>
      </c>
      <c r="I111">
        <v>0</v>
      </c>
      <c r="J111">
        <v>2</v>
      </c>
      <c r="K111">
        <v>0</v>
      </c>
      <c r="L111">
        <v>0</v>
      </c>
      <c r="M111">
        <v>0</v>
      </c>
      <c r="N111">
        <v>9</v>
      </c>
    </row>
    <row r="112" spans="1:14" x14ac:dyDescent="0.2">
      <c r="A112">
        <v>111</v>
      </c>
      <c r="B112">
        <v>101</v>
      </c>
      <c r="C112">
        <v>2</v>
      </c>
      <c r="D112" t="str">
        <f>HLOOKUP(Dados!C112,'Variáveis e códigos'!$C$4:$F$5,2,FALSE)</f>
        <v>Feminino</v>
      </c>
      <c r="E112">
        <v>7</v>
      </c>
      <c r="F112">
        <v>1</v>
      </c>
      <c r="G112">
        <v>3</v>
      </c>
      <c r="H112">
        <v>0</v>
      </c>
      <c r="I112">
        <v>0</v>
      </c>
      <c r="J112">
        <v>2</v>
      </c>
      <c r="K112">
        <v>0</v>
      </c>
      <c r="L112">
        <v>0</v>
      </c>
      <c r="M112">
        <v>0</v>
      </c>
      <c r="N112">
        <v>7</v>
      </c>
    </row>
    <row r="113" spans="1:14" x14ac:dyDescent="0.2">
      <c r="A113">
        <v>112</v>
      </c>
      <c r="B113">
        <v>101</v>
      </c>
      <c r="C113">
        <v>2</v>
      </c>
      <c r="D113" t="str">
        <f>HLOOKUP(Dados!C113,'Variáveis e códigos'!$C$4:$F$5,2,FALSE)</f>
        <v>Feminino</v>
      </c>
      <c r="E113">
        <v>6</v>
      </c>
      <c r="F113">
        <v>1</v>
      </c>
      <c r="G113">
        <v>1</v>
      </c>
      <c r="H113">
        <v>1</v>
      </c>
      <c r="I113">
        <v>1</v>
      </c>
      <c r="J113">
        <v>2</v>
      </c>
      <c r="K113">
        <v>0</v>
      </c>
      <c r="L113">
        <v>1</v>
      </c>
      <c r="M113">
        <v>1</v>
      </c>
      <c r="N113">
        <v>8</v>
      </c>
    </row>
    <row r="114" spans="1:14" x14ac:dyDescent="0.2">
      <c r="A114">
        <v>113</v>
      </c>
      <c r="B114">
        <v>101</v>
      </c>
      <c r="C114">
        <v>1</v>
      </c>
      <c r="D114" t="str">
        <f>HLOOKUP(Dados!C114,'Variáveis e códigos'!$C$4:$F$5,2,FALSE)</f>
        <v>Masculino</v>
      </c>
      <c r="E114">
        <v>6</v>
      </c>
      <c r="F114">
        <v>1</v>
      </c>
      <c r="G114">
        <v>99</v>
      </c>
      <c r="H114">
        <v>99</v>
      </c>
      <c r="I114">
        <v>99</v>
      </c>
      <c r="J114">
        <v>99</v>
      </c>
      <c r="K114">
        <v>99</v>
      </c>
      <c r="L114">
        <v>99</v>
      </c>
      <c r="M114">
        <v>99</v>
      </c>
      <c r="N114">
        <v>8</v>
      </c>
    </row>
    <row r="115" spans="1:14" x14ac:dyDescent="0.2">
      <c r="A115">
        <v>114</v>
      </c>
      <c r="B115">
        <v>101</v>
      </c>
      <c r="C115">
        <v>2</v>
      </c>
      <c r="D115" t="str">
        <f>HLOOKUP(Dados!C115,'Variáveis e códigos'!$C$4:$F$5,2,FALSE)</f>
        <v>Feminino</v>
      </c>
      <c r="E115">
        <v>7</v>
      </c>
      <c r="F115">
        <v>1</v>
      </c>
      <c r="G115">
        <v>2</v>
      </c>
      <c r="H115">
        <v>0</v>
      </c>
      <c r="I115">
        <v>0</v>
      </c>
      <c r="J115">
        <v>2</v>
      </c>
      <c r="K115">
        <v>0</v>
      </c>
      <c r="L115">
        <v>0</v>
      </c>
      <c r="M115">
        <v>1</v>
      </c>
      <c r="N115">
        <v>99</v>
      </c>
    </row>
    <row r="116" spans="1:14" x14ac:dyDescent="0.2">
      <c r="A116">
        <v>115</v>
      </c>
      <c r="B116">
        <v>101</v>
      </c>
      <c r="C116">
        <v>2</v>
      </c>
      <c r="D116" t="str">
        <f>HLOOKUP(Dados!C116,'Variáveis e códigos'!$C$4:$F$5,2,FALSE)</f>
        <v>Feminino</v>
      </c>
      <c r="E116">
        <v>7</v>
      </c>
      <c r="F116">
        <v>1</v>
      </c>
      <c r="G116">
        <v>2</v>
      </c>
      <c r="H116">
        <v>0</v>
      </c>
      <c r="I116">
        <v>0</v>
      </c>
      <c r="J116">
        <v>2</v>
      </c>
      <c r="K116">
        <v>0</v>
      </c>
      <c r="L116">
        <v>0</v>
      </c>
      <c r="M116">
        <v>0</v>
      </c>
      <c r="N116">
        <v>9</v>
      </c>
    </row>
    <row r="117" spans="1:14" x14ac:dyDescent="0.2">
      <c r="A117">
        <v>116</v>
      </c>
      <c r="B117">
        <v>101</v>
      </c>
      <c r="C117">
        <v>2</v>
      </c>
      <c r="D117" t="str">
        <f>HLOOKUP(Dados!C117,'Variáveis e códigos'!$C$4:$F$5,2,FALSE)</f>
        <v>Feminino</v>
      </c>
      <c r="E117">
        <v>6</v>
      </c>
      <c r="F117">
        <v>1</v>
      </c>
      <c r="G117">
        <v>1</v>
      </c>
      <c r="H117">
        <v>2</v>
      </c>
      <c r="I117">
        <v>2</v>
      </c>
      <c r="J117">
        <v>0</v>
      </c>
      <c r="K117">
        <v>0</v>
      </c>
      <c r="L117">
        <v>0</v>
      </c>
      <c r="M117">
        <v>1</v>
      </c>
      <c r="N117">
        <v>9</v>
      </c>
    </row>
    <row r="118" spans="1:14" x14ac:dyDescent="0.2">
      <c r="A118">
        <v>117</v>
      </c>
      <c r="B118">
        <v>101</v>
      </c>
      <c r="C118">
        <v>1</v>
      </c>
      <c r="D118" t="str">
        <f>HLOOKUP(Dados!C118,'Variáveis e códigos'!$C$4:$F$5,2,FALSE)</f>
        <v>Masculino</v>
      </c>
      <c r="E118">
        <v>8</v>
      </c>
      <c r="F118">
        <v>1</v>
      </c>
      <c r="G118">
        <v>2</v>
      </c>
      <c r="H118">
        <v>0</v>
      </c>
      <c r="I118">
        <v>0</v>
      </c>
      <c r="J118">
        <v>0</v>
      </c>
      <c r="K118">
        <v>0</v>
      </c>
      <c r="L118">
        <v>1</v>
      </c>
      <c r="M118">
        <v>0</v>
      </c>
      <c r="N118">
        <v>7</v>
      </c>
    </row>
    <row r="119" spans="1:14" x14ac:dyDescent="0.2">
      <c r="A119">
        <v>118</v>
      </c>
      <c r="B119">
        <v>101</v>
      </c>
      <c r="C119">
        <v>2</v>
      </c>
      <c r="D119" t="str">
        <f>HLOOKUP(Dados!C119,'Variáveis e códigos'!$C$4:$F$5,2,FALSE)</f>
        <v>Feminino</v>
      </c>
      <c r="E119">
        <v>8</v>
      </c>
      <c r="F119">
        <v>1</v>
      </c>
      <c r="G119">
        <v>3</v>
      </c>
      <c r="H119">
        <v>0</v>
      </c>
      <c r="I119">
        <v>1</v>
      </c>
      <c r="J119">
        <v>2</v>
      </c>
      <c r="K119">
        <v>0</v>
      </c>
      <c r="L119">
        <v>1</v>
      </c>
      <c r="M119">
        <v>0</v>
      </c>
      <c r="N119">
        <v>9</v>
      </c>
    </row>
    <row r="120" spans="1:14" x14ac:dyDescent="0.2">
      <c r="A120">
        <v>119</v>
      </c>
      <c r="B120">
        <v>101</v>
      </c>
      <c r="C120">
        <v>2</v>
      </c>
      <c r="D120" t="str">
        <f>HLOOKUP(Dados!C120,'Variáveis e códigos'!$C$4:$F$5,2,FALSE)</f>
        <v>Feminino</v>
      </c>
      <c r="E120">
        <v>8</v>
      </c>
      <c r="F120">
        <v>1</v>
      </c>
      <c r="G120">
        <v>3</v>
      </c>
      <c r="H120">
        <v>0</v>
      </c>
      <c r="I120">
        <v>0</v>
      </c>
      <c r="J120">
        <v>2</v>
      </c>
      <c r="K120">
        <v>0</v>
      </c>
      <c r="L120">
        <v>0</v>
      </c>
      <c r="M120">
        <v>0</v>
      </c>
      <c r="N120">
        <v>8</v>
      </c>
    </row>
    <row r="121" spans="1:14" x14ac:dyDescent="0.2">
      <c r="A121">
        <v>120</v>
      </c>
      <c r="B121">
        <v>101</v>
      </c>
      <c r="C121">
        <v>2</v>
      </c>
      <c r="D121" t="str">
        <f>HLOOKUP(Dados!C121,'Variáveis e códigos'!$C$4:$F$5,2,FALSE)</f>
        <v>Feminino</v>
      </c>
      <c r="E121">
        <v>7</v>
      </c>
      <c r="F121">
        <v>1</v>
      </c>
      <c r="G121">
        <v>2</v>
      </c>
      <c r="H121">
        <v>0</v>
      </c>
      <c r="I121">
        <v>0</v>
      </c>
      <c r="J121">
        <v>2</v>
      </c>
      <c r="K121">
        <v>0</v>
      </c>
      <c r="L121">
        <v>1</v>
      </c>
      <c r="M121">
        <v>0</v>
      </c>
      <c r="N121">
        <v>8</v>
      </c>
    </row>
    <row r="122" spans="1:14" x14ac:dyDescent="0.2">
      <c r="A122">
        <v>121</v>
      </c>
      <c r="B122">
        <v>101</v>
      </c>
      <c r="C122">
        <v>2</v>
      </c>
      <c r="D122" t="str">
        <f>HLOOKUP(Dados!C122,'Variáveis e códigos'!$C$4:$F$5,2,FALSE)</f>
        <v>Feminino</v>
      </c>
      <c r="E122">
        <v>7</v>
      </c>
      <c r="F122">
        <v>1</v>
      </c>
      <c r="G122">
        <v>3</v>
      </c>
      <c r="H122">
        <v>0</v>
      </c>
      <c r="I122">
        <v>0</v>
      </c>
      <c r="J122">
        <v>2</v>
      </c>
      <c r="K122">
        <v>0</v>
      </c>
      <c r="L122">
        <v>0</v>
      </c>
      <c r="M122">
        <v>0</v>
      </c>
      <c r="N122">
        <v>8</v>
      </c>
    </row>
    <row r="123" spans="1:14" x14ac:dyDescent="0.2">
      <c r="A123">
        <v>122</v>
      </c>
      <c r="B123">
        <v>101</v>
      </c>
      <c r="C123">
        <v>2</v>
      </c>
      <c r="D123" t="str">
        <f>HLOOKUP(Dados!C123,'Variáveis e códigos'!$C$4:$F$5,2,FALSE)</f>
        <v>Feminino</v>
      </c>
      <c r="E123">
        <v>9</v>
      </c>
      <c r="F123">
        <v>1</v>
      </c>
      <c r="G123">
        <v>2</v>
      </c>
      <c r="H123">
        <v>1</v>
      </c>
      <c r="I123">
        <v>0</v>
      </c>
      <c r="J123">
        <v>2</v>
      </c>
      <c r="K123">
        <v>0</v>
      </c>
      <c r="L123">
        <v>0</v>
      </c>
      <c r="M123">
        <v>1</v>
      </c>
      <c r="N123">
        <v>9</v>
      </c>
    </row>
    <row r="124" spans="1:14" x14ac:dyDescent="0.2">
      <c r="A124">
        <v>123</v>
      </c>
      <c r="B124">
        <v>101</v>
      </c>
      <c r="C124">
        <v>2</v>
      </c>
      <c r="D124" t="str">
        <f>HLOOKUP(Dados!C124,'Variáveis e códigos'!$C$4:$F$5,2,FALSE)</f>
        <v>Feminino</v>
      </c>
      <c r="E124">
        <v>7</v>
      </c>
      <c r="F124">
        <v>1</v>
      </c>
      <c r="G124">
        <v>1</v>
      </c>
      <c r="H124">
        <v>1</v>
      </c>
      <c r="I124">
        <v>0</v>
      </c>
      <c r="J124">
        <v>2</v>
      </c>
      <c r="K124">
        <v>0</v>
      </c>
      <c r="L124">
        <v>0</v>
      </c>
      <c r="M124">
        <v>0</v>
      </c>
      <c r="N124">
        <v>8</v>
      </c>
    </row>
    <row r="125" spans="1:14" x14ac:dyDescent="0.2">
      <c r="A125">
        <v>124</v>
      </c>
      <c r="B125">
        <v>101</v>
      </c>
      <c r="C125">
        <v>2</v>
      </c>
      <c r="D125" t="str">
        <f>HLOOKUP(Dados!C125,'Variáveis e códigos'!$C$4:$F$5,2,FALSE)</f>
        <v>Feminino</v>
      </c>
      <c r="E125">
        <v>7</v>
      </c>
      <c r="F125">
        <v>1</v>
      </c>
      <c r="G125">
        <v>3</v>
      </c>
      <c r="H125">
        <v>0</v>
      </c>
      <c r="I125">
        <v>0</v>
      </c>
      <c r="J125">
        <v>1</v>
      </c>
      <c r="K125">
        <v>0</v>
      </c>
      <c r="L125">
        <v>0</v>
      </c>
      <c r="M125">
        <v>0</v>
      </c>
      <c r="N125">
        <v>9</v>
      </c>
    </row>
    <row r="126" spans="1:14" x14ac:dyDescent="0.2">
      <c r="A126">
        <v>125</v>
      </c>
      <c r="B126">
        <v>101</v>
      </c>
      <c r="C126">
        <v>1</v>
      </c>
      <c r="D126" t="str">
        <f>HLOOKUP(Dados!C126,'Variáveis e códigos'!$C$4:$F$5,2,FALSE)</f>
        <v>Masculino</v>
      </c>
      <c r="E126">
        <v>9</v>
      </c>
      <c r="F126">
        <v>1</v>
      </c>
      <c r="G126">
        <v>3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8</v>
      </c>
    </row>
    <row r="127" spans="1:14" x14ac:dyDescent="0.2">
      <c r="A127">
        <v>126</v>
      </c>
      <c r="B127">
        <v>101</v>
      </c>
      <c r="C127">
        <v>2</v>
      </c>
      <c r="D127" t="str">
        <f>HLOOKUP(Dados!C127,'Variáveis e códigos'!$C$4:$F$5,2,FALSE)</f>
        <v>Feminino</v>
      </c>
      <c r="E127">
        <v>6</v>
      </c>
      <c r="F127">
        <v>1</v>
      </c>
      <c r="G127">
        <v>2</v>
      </c>
      <c r="H127">
        <v>0</v>
      </c>
      <c r="I127">
        <v>0</v>
      </c>
      <c r="J127">
        <v>2</v>
      </c>
      <c r="K127">
        <v>0</v>
      </c>
      <c r="L127">
        <v>1</v>
      </c>
      <c r="M127">
        <v>1</v>
      </c>
      <c r="N127">
        <v>10</v>
      </c>
    </row>
    <row r="128" spans="1:14" x14ac:dyDescent="0.2">
      <c r="A128">
        <v>127</v>
      </c>
      <c r="B128">
        <v>101</v>
      </c>
      <c r="C128">
        <v>2</v>
      </c>
      <c r="D128" t="str">
        <f>HLOOKUP(Dados!C128,'Variáveis e códigos'!$C$4:$F$5,2,FALSE)</f>
        <v>Feminino</v>
      </c>
      <c r="E128">
        <v>9</v>
      </c>
      <c r="F128">
        <v>1</v>
      </c>
      <c r="G128">
        <v>3</v>
      </c>
      <c r="H128">
        <v>0</v>
      </c>
      <c r="I128">
        <v>0</v>
      </c>
      <c r="J128">
        <v>2</v>
      </c>
      <c r="K128">
        <v>0</v>
      </c>
      <c r="L128">
        <v>0</v>
      </c>
      <c r="M128">
        <v>0</v>
      </c>
      <c r="N128">
        <v>99</v>
      </c>
    </row>
    <row r="129" spans="1:14" x14ac:dyDescent="0.2">
      <c r="A129">
        <v>128</v>
      </c>
      <c r="B129">
        <v>101</v>
      </c>
      <c r="C129">
        <v>2</v>
      </c>
      <c r="D129" t="str">
        <f>HLOOKUP(Dados!C129,'Variáveis e códigos'!$C$4:$F$5,2,FALSE)</f>
        <v>Feminino</v>
      </c>
      <c r="E129">
        <v>10</v>
      </c>
      <c r="F129">
        <v>1</v>
      </c>
      <c r="G129">
        <v>1</v>
      </c>
      <c r="H129">
        <v>1</v>
      </c>
      <c r="I129">
        <v>1</v>
      </c>
      <c r="J129">
        <v>2</v>
      </c>
      <c r="K129">
        <v>0</v>
      </c>
      <c r="L129">
        <v>0</v>
      </c>
      <c r="M129">
        <v>1</v>
      </c>
      <c r="N129">
        <v>8</v>
      </c>
    </row>
    <row r="130" spans="1:14" x14ac:dyDescent="0.2">
      <c r="A130">
        <v>129</v>
      </c>
      <c r="B130">
        <v>101</v>
      </c>
      <c r="C130">
        <v>1</v>
      </c>
      <c r="D130" t="str">
        <f>HLOOKUP(Dados!C130,'Variáveis e códigos'!$C$4:$F$5,2,FALSE)</f>
        <v>Masculino</v>
      </c>
      <c r="E130">
        <v>4</v>
      </c>
      <c r="F130">
        <v>0</v>
      </c>
      <c r="G130">
        <v>1</v>
      </c>
      <c r="H130">
        <v>2</v>
      </c>
      <c r="I130">
        <v>0</v>
      </c>
      <c r="J130">
        <v>2</v>
      </c>
      <c r="K130">
        <v>0</v>
      </c>
      <c r="L130">
        <v>0</v>
      </c>
      <c r="M130">
        <v>0</v>
      </c>
      <c r="N130">
        <v>8</v>
      </c>
    </row>
    <row r="131" spans="1:14" x14ac:dyDescent="0.2">
      <c r="A131">
        <v>130</v>
      </c>
      <c r="B131">
        <v>101</v>
      </c>
      <c r="C131">
        <v>2</v>
      </c>
      <c r="D131" t="str">
        <f>HLOOKUP(Dados!C131,'Variáveis e códigos'!$C$4:$F$5,2,FALSE)</f>
        <v>Feminino</v>
      </c>
      <c r="E131">
        <v>6</v>
      </c>
      <c r="F131">
        <v>1</v>
      </c>
      <c r="G131">
        <v>99</v>
      </c>
      <c r="H131">
        <v>0</v>
      </c>
      <c r="I131">
        <v>0</v>
      </c>
      <c r="J131">
        <v>2</v>
      </c>
      <c r="K131">
        <v>0</v>
      </c>
      <c r="L131">
        <v>0</v>
      </c>
      <c r="M131">
        <v>0</v>
      </c>
      <c r="N131">
        <v>9</v>
      </c>
    </row>
    <row r="132" spans="1:14" x14ac:dyDescent="0.2">
      <c r="A132">
        <v>131</v>
      </c>
      <c r="B132">
        <v>101</v>
      </c>
      <c r="C132">
        <v>1</v>
      </c>
      <c r="D132" t="str">
        <f>HLOOKUP(Dados!C132,'Variáveis e códigos'!$C$4:$F$5,2,FALSE)</f>
        <v>Masculino</v>
      </c>
      <c r="E132">
        <v>8</v>
      </c>
      <c r="F132">
        <v>1</v>
      </c>
      <c r="G132">
        <v>1</v>
      </c>
      <c r="H132">
        <v>0</v>
      </c>
      <c r="I132">
        <v>0</v>
      </c>
      <c r="J132">
        <v>2</v>
      </c>
      <c r="K132">
        <v>0</v>
      </c>
      <c r="L132">
        <v>0</v>
      </c>
      <c r="M132">
        <v>0</v>
      </c>
      <c r="N132">
        <v>8</v>
      </c>
    </row>
    <row r="133" spans="1:14" x14ac:dyDescent="0.2">
      <c r="A133">
        <v>132</v>
      </c>
      <c r="B133">
        <v>101</v>
      </c>
      <c r="C133">
        <v>2</v>
      </c>
      <c r="D133" t="str">
        <f>HLOOKUP(Dados!C133,'Variáveis e códigos'!$C$4:$F$5,2,FALSE)</f>
        <v>Feminino</v>
      </c>
      <c r="E133">
        <v>8</v>
      </c>
      <c r="F133">
        <v>1</v>
      </c>
      <c r="G133">
        <v>1</v>
      </c>
      <c r="H133">
        <v>0</v>
      </c>
      <c r="I133">
        <v>0</v>
      </c>
      <c r="J133">
        <v>2</v>
      </c>
      <c r="K133">
        <v>0</v>
      </c>
      <c r="L133">
        <v>0</v>
      </c>
      <c r="M133">
        <v>2</v>
      </c>
      <c r="N133">
        <v>8</v>
      </c>
    </row>
    <row r="134" spans="1:14" x14ac:dyDescent="0.2">
      <c r="A134">
        <v>133</v>
      </c>
      <c r="B134">
        <v>101</v>
      </c>
      <c r="C134">
        <v>2</v>
      </c>
      <c r="D134" t="str">
        <f>HLOOKUP(Dados!C134,'Variáveis e códigos'!$C$4:$F$5,2,FALSE)</f>
        <v>Feminino</v>
      </c>
      <c r="E134">
        <v>4</v>
      </c>
      <c r="F134">
        <v>0</v>
      </c>
      <c r="G134">
        <v>1</v>
      </c>
      <c r="H134">
        <v>1</v>
      </c>
      <c r="I134">
        <v>0</v>
      </c>
      <c r="J134">
        <v>2</v>
      </c>
      <c r="K134">
        <v>0</v>
      </c>
      <c r="L134">
        <v>0</v>
      </c>
      <c r="M134">
        <v>0</v>
      </c>
      <c r="N134">
        <v>9</v>
      </c>
    </row>
    <row r="135" spans="1:14" x14ac:dyDescent="0.2">
      <c r="A135">
        <v>134</v>
      </c>
      <c r="B135">
        <v>101</v>
      </c>
      <c r="C135">
        <v>2</v>
      </c>
      <c r="D135" t="str">
        <f>HLOOKUP(Dados!C135,'Variáveis e códigos'!$C$4:$F$5,2,FALSE)</f>
        <v>Feminino</v>
      </c>
      <c r="E135">
        <v>9</v>
      </c>
      <c r="F135">
        <v>1</v>
      </c>
      <c r="G135">
        <v>2</v>
      </c>
      <c r="H135">
        <v>1</v>
      </c>
      <c r="I135">
        <v>1</v>
      </c>
      <c r="J135">
        <v>2</v>
      </c>
      <c r="K135">
        <v>0</v>
      </c>
      <c r="L135">
        <v>0</v>
      </c>
      <c r="M135">
        <v>0</v>
      </c>
      <c r="N135">
        <v>99</v>
      </c>
    </row>
    <row r="136" spans="1:14" x14ac:dyDescent="0.2">
      <c r="A136">
        <v>135</v>
      </c>
      <c r="B136">
        <v>101</v>
      </c>
      <c r="C136">
        <v>1</v>
      </c>
      <c r="D136" t="str">
        <f>HLOOKUP(Dados!C136,'Variáveis e códigos'!$C$4:$F$5,2,FALSE)</f>
        <v>Masculino</v>
      </c>
      <c r="E136">
        <v>8</v>
      </c>
      <c r="F136">
        <v>1</v>
      </c>
      <c r="G136">
        <v>3</v>
      </c>
      <c r="H136">
        <v>0</v>
      </c>
      <c r="I136">
        <v>0</v>
      </c>
      <c r="J136">
        <v>1</v>
      </c>
      <c r="K136">
        <v>0</v>
      </c>
      <c r="L136">
        <v>0</v>
      </c>
      <c r="M136">
        <v>0</v>
      </c>
      <c r="N136">
        <v>8</v>
      </c>
    </row>
    <row r="137" spans="1:14" x14ac:dyDescent="0.2">
      <c r="A137">
        <v>136</v>
      </c>
      <c r="B137">
        <v>101</v>
      </c>
      <c r="C137">
        <v>1</v>
      </c>
      <c r="D137" t="str">
        <f>HLOOKUP(Dados!C137,'Variáveis e códigos'!$C$4:$F$5,2,FALSE)</f>
        <v>Masculino</v>
      </c>
      <c r="E137">
        <v>7</v>
      </c>
      <c r="F137">
        <v>1</v>
      </c>
      <c r="G137">
        <v>1</v>
      </c>
      <c r="H137">
        <v>1</v>
      </c>
      <c r="I137">
        <v>1</v>
      </c>
      <c r="J137">
        <v>1</v>
      </c>
      <c r="K137">
        <v>2</v>
      </c>
      <c r="L137">
        <v>0</v>
      </c>
      <c r="M137">
        <v>0</v>
      </c>
      <c r="N137">
        <v>8</v>
      </c>
    </row>
    <row r="138" spans="1:14" x14ac:dyDescent="0.2">
      <c r="A138">
        <v>137</v>
      </c>
      <c r="B138">
        <v>101</v>
      </c>
      <c r="C138">
        <v>1</v>
      </c>
      <c r="D138" t="str">
        <f>HLOOKUP(Dados!C138,'Variáveis e códigos'!$C$4:$F$5,2,FALSE)</f>
        <v>Masculino</v>
      </c>
      <c r="E138">
        <v>7</v>
      </c>
      <c r="F138">
        <v>1</v>
      </c>
      <c r="G138">
        <v>2</v>
      </c>
      <c r="H138">
        <v>0</v>
      </c>
      <c r="I138">
        <v>0</v>
      </c>
      <c r="J138">
        <v>2</v>
      </c>
      <c r="K138">
        <v>0</v>
      </c>
      <c r="L138">
        <v>1</v>
      </c>
      <c r="M138">
        <v>1</v>
      </c>
      <c r="N138">
        <v>8</v>
      </c>
    </row>
    <row r="139" spans="1:14" x14ac:dyDescent="0.2">
      <c r="A139">
        <v>138</v>
      </c>
      <c r="B139">
        <v>101</v>
      </c>
      <c r="C139">
        <v>2</v>
      </c>
      <c r="D139" t="str">
        <f>HLOOKUP(Dados!C139,'Variáveis e códigos'!$C$4:$F$5,2,FALSE)</f>
        <v>Feminino</v>
      </c>
      <c r="E139">
        <v>8</v>
      </c>
      <c r="F139">
        <v>1</v>
      </c>
      <c r="G139">
        <v>3</v>
      </c>
      <c r="H139">
        <v>0</v>
      </c>
      <c r="I139">
        <v>0</v>
      </c>
      <c r="J139">
        <v>2</v>
      </c>
      <c r="K139">
        <v>0</v>
      </c>
      <c r="L139">
        <v>0</v>
      </c>
      <c r="M139">
        <v>0</v>
      </c>
      <c r="N139">
        <v>8</v>
      </c>
    </row>
    <row r="140" spans="1:14" x14ac:dyDescent="0.2">
      <c r="A140">
        <v>139</v>
      </c>
      <c r="B140">
        <v>101</v>
      </c>
      <c r="C140">
        <v>2</v>
      </c>
      <c r="D140" t="str">
        <f>HLOOKUP(Dados!C140,'Variáveis e códigos'!$C$4:$F$5,2,FALSE)</f>
        <v>Feminino</v>
      </c>
      <c r="E140">
        <v>10</v>
      </c>
      <c r="F140">
        <v>1</v>
      </c>
      <c r="G140">
        <v>1</v>
      </c>
      <c r="H140">
        <v>0</v>
      </c>
      <c r="I140">
        <v>0</v>
      </c>
      <c r="J140">
        <v>2</v>
      </c>
      <c r="K140">
        <v>0</v>
      </c>
      <c r="L140">
        <v>0</v>
      </c>
      <c r="M140">
        <v>2</v>
      </c>
      <c r="N140">
        <v>7</v>
      </c>
    </row>
    <row r="141" spans="1:14" x14ac:dyDescent="0.2">
      <c r="A141">
        <v>140</v>
      </c>
      <c r="B141">
        <v>101</v>
      </c>
      <c r="C141">
        <v>2</v>
      </c>
      <c r="D141" t="str">
        <f>HLOOKUP(Dados!C141,'Variáveis e códigos'!$C$4:$F$5,2,FALSE)</f>
        <v>Feminino</v>
      </c>
      <c r="E141">
        <v>8</v>
      </c>
      <c r="F141">
        <v>1</v>
      </c>
      <c r="G141">
        <v>1</v>
      </c>
      <c r="H141">
        <v>2</v>
      </c>
      <c r="I141">
        <v>0</v>
      </c>
      <c r="J141">
        <v>2</v>
      </c>
      <c r="K141">
        <v>0</v>
      </c>
      <c r="L141">
        <v>2</v>
      </c>
      <c r="M141">
        <v>2</v>
      </c>
      <c r="N141">
        <v>8</v>
      </c>
    </row>
    <row r="142" spans="1:14" x14ac:dyDescent="0.2">
      <c r="A142">
        <v>141</v>
      </c>
      <c r="B142">
        <v>101</v>
      </c>
      <c r="C142">
        <v>2</v>
      </c>
      <c r="D142" t="str">
        <f>HLOOKUP(Dados!C142,'Variáveis e códigos'!$C$4:$F$5,2,FALSE)</f>
        <v>Feminino</v>
      </c>
      <c r="E142">
        <v>8</v>
      </c>
      <c r="F142">
        <v>1</v>
      </c>
      <c r="G142">
        <v>1</v>
      </c>
      <c r="H142">
        <v>0</v>
      </c>
      <c r="I142">
        <v>0</v>
      </c>
      <c r="J142">
        <v>2</v>
      </c>
      <c r="K142">
        <v>0</v>
      </c>
      <c r="L142">
        <v>0</v>
      </c>
      <c r="M142">
        <v>0</v>
      </c>
      <c r="N142">
        <v>9</v>
      </c>
    </row>
    <row r="143" spans="1:14" x14ac:dyDescent="0.2">
      <c r="A143">
        <v>142</v>
      </c>
      <c r="B143">
        <v>101</v>
      </c>
      <c r="C143">
        <v>1</v>
      </c>
      <c r="D143" t="str">
        <f>HLOOKUP(Dados!C143,'Variáveis e códigos'!$C$4:$F$5,2,FALSE)</f>
        <v>Masculino</v>
      </c>
      <c r="E143">
        <v>9</v>
      </c>
      <c r="F143">
        <v>1</v>
      </c>
      <c r="G143">
        <v>2</v>
      </c>
      <c r="H143">
        <v>0</v>
      </c>
      <c r="I143">
        <v>0</v>
      </c>
      <c r="J143">
        <v>2</v>
      </c>
      <c r="K143">
        <v>0</v>
      </c>
      <c r="L143">
        <v>0</v>
      </c>
      <c r="M143">
        <v>0</v>
      </c>
      <c r="N143">
        <v>8</v>
      </c>
    </row>
    <row r="144" spans="1:14" x14ac:dyDescent="0.2">
      <c r="A144">
        <v>143</v>
      </c>
      <c r="B144">
        <v>101</v>
      </c>
      <c r="C144">
        <v>1</v>
      </c>
      <c r="D144" t="str">
        <f>HLOOKUP(Dados!C144,'Variáveis e códigos'!$C$4:$F$5,2,FALSE)</f>
        <v>Masculino</v>
      </c>
      <c r="E144">
        <v>7</v>
      </c>
      <c r="F144">
        <v>1</v>
      </c>
      <c r="G144">
        <v>1</v>
      </c>
      <c r="H144">
        <v>1</v>
      </c>
      <c r="I144">
        <v>0</v>
      </c>
      <c r="J144">
        <v>2</v>
      </c>
      <c r="K144">
        <v>0</v>
      </c>
      <c r="L144">
        <v>0</v>
      </c>
      <c r="M144">
        <v>0</v>
      </c>
      <c r="N144">
        <v>9</v>
      </c>
    </row>
    <row r="145" spans="1:14" x14ac:dyDescent="0.2">
      <c r="A145">
        <v>144</v>
      </c>
      <c r="B145">
        <v>101</v>
      </c>
      <c r="C145">
        <v>2</v>
      </c>
      <c r="D145" t="str">
        <f>HLOOKUP(Dados!C145,'Variáveis e códigos'!$C$4:$F$5,2,FALSE)</f>
        <v>Feminino</v>
      </c>
      <c r="E145">
        <v>7</v>
      </c>
      <c r="F145">
        <v>1</v>
      </c>
      <c r="G145">
        <v>3</v>
      </c>
      <c r="H145">
        <v>0</v>
      </c>
      <c r="I145">
        <v>1</v>
      </c>
      <c r="J145">
        <v>2</v>
      </c>
      <c r="K145">
        <v>0</v>
      </c>
      <c r="L145">
        <v>0</v>
      </c>
      <c r="M145">
        <v>1</v>
      </c>
      <c r="N145">
        <v>10</v>
      </c>
    </row>
    <row r="146" spans="1:14" x14ac:dyDescent="0.2">
      <c r="A146">
        <v>145</v>
      </c>
      <c r="B146">
        <v>101</v>
      </c>
      <c r="C146">
        <v>1</v>
      </c>
      <c r="D146" t="str">
        <f>HLOOKUP(Dados!C146,'Variáveis e códigos'!$C$4:$F$5,2,FALSE)</f>
        <v>Masculino</v>
      </c>
      <c r="E146">
        <v>7</v>
      </c>
      <c r="F146">
        <v>1</v>
      </c>
      <c r="G146">
        <v>3</v>
      </c>
      <c r="H146">
        <v>0</v>
      </c>
      <c r="I146">
        <v>0</v>
      </c>
      <c r="J146">
        <v>2</v>
      </c>
      <c r="K146">
        <v>0</v>
      </c>
      <c r="L146">
        <v>0</v>
      </c>
      <c r="M146">
        <v>1</v>
      </c>
      <c r="N146">
        <v>10</v>
      </c>
    </row>
    <row r="147" spans="1:14" x14ac:dyDescent="0.2">
      <c r="A147">
        <v>146</v>
      </c>
      <c r="B147">
        <v>101</v>
      </c>
      <c r="C147">
        <v>2</v>
      </c>
      <c r="D147" t="str">
        <f>HLOOKUP(Dados!C147,'Variáveis e códigos'!$C$4:$F$5,2,FALSE)</f>
        <v>Feminino</v>
      </c>
      <c r="E147">
        <v>9</v>
      </c>
      <c r="F147">
        <v>1</v>
      </c>
      <c r="G147">
        <v>2</v>
      </c>
      <c r="H147">
        <v>0</v>
      </c>
      <c r="I147">
        <v>0</v>
      </c>
      <c r="J147">
        <v>2</v>
      </c>
      <c r="K147">
        <v>0</v>
      </c>
      <c r="L147">
        <v>0</v>
      </c>
      <c r="M147">
        <v>0</v>
      </c>
      <c r="N147">
        <v>99</v>
      </c>
    </row>
    <row r="148" spans="1:14" x14ac:dyDescent="0.2">
      <c r="A148">
        <v>147</v>
      </c>
      <c r="B148">
        <v>101</v>
      </c>
      <c r="C148">
        <v>1</v>
      </c>
      <c r="D148" t="str">
        <f>HLOOKUP(Dados!C148,'Variáveis e códigos'!$C$4:$F$5,2,FALSE)</f>
        <v>Masculino</v>
      </c>
      <c r="E148">
        <v>9</v>
      </c>
      <c r="F148">
        <v>1</v>
      </c>
      <c r="G148">
        <v>1</v>
      </c>
      <c r="H148">
        <v>0</v>
      </c>
      <c r="I148">
        <v>2</v>
      </c>
      <c r="J148">
        <v>1</v>
      </c>
      <c r="K148">
        <v>1</v>
      </c>
      <c r="L148">
        <v>1</v>
      </c>
      <c r="M148">
        <v>0</v>
      </c>
      <c r="N148">
        <v>8</v>
      </c>
    </row>
    <row r="149" spans="1:14" x14ac:dyDescent="0.2">
      <c r="A149">
        <v>148</v>
      </c>
      <c r="B149">
        <v>101</v>
      </c>
      <c r="C149">
        <v>2</v>
      </c>
      <c r="D149" t="str">
        <f>HLOOKUP(Dados!C149,'Variáveis e códigos'!$C$4:$F$5,2,FALSE)</f>
        <v>Feminino</v>
      </c>
      <c r="E149">
        <v>4</v>
      </c>
      <c r="F149">
        <v>0</v>
      </c>
      <c r="G149">
        <v>2</v>
      </c>
      <c r="H149">
        <v>0</v>
      </c>
      <c r="I149">
        <v>0</v>
      </c>
      <c r="J149">
        <v>2</v>
      </c>
      <c r="K149">
        <v>0</v>
      </c>
      <c r="L149">
        <v>0</v>
      </c>
      <c r="M149">
        <v>0</v>
      </c>
      <c r="N149">
        <v>9</v>
      </c>
    </row>
    <row r="150" spans="1:14" x14ac:dyDescent="0.2">
      <c r="A150">
        <v>149</v>
      </c>
      <c r="B150">
        <v>101</v>
      </c>
      <c r="C150">
        <v>1</v>
      </c>
      <c r="D150" t="str">
        <f>HLOOKUP(Dados!C150,'Variáveis e códigos'!$C$4:$F$5,2,FALSE)</f>
        <v>Masculino</v>
      </c>
      <c r="E150">
        <v>7</v>
      </c>
      <c r="F150">
        <v>1</v>
      </c>
      <c r="G150">
        <v>2</v>
      </c>
      <c r="H150">
        <v>2</v>
      </c>
      <c r="I150">
        <v>1</v>
      </c>
      <c r="J150">
        <v>1</v>
      </c>
      <c r="K150">
        <v>1</v>
      </c>
      <c r="L150">
        <v>1</v>
      </c>
      <c r="M150">
        <v>1</v>
      </c>
      <c r="N150">
        <v>8</v>
      </c>
    </row>
    <row r="151" spans="1:14" x14ac:dyDescent="0.2">
      <c r="A151">
        <v>150</v>
      </c>
      <c r="B151">
        <v>101</v>
      </c>
      <c r="C151">
        <v>2</v>
      </c>
      <c r="D151" t="str">
        <f>HLOOKUP(Dados!C151,'Variáveis e códigos'!$C$4:$F$5,2,FALSE)</f>
        <v>Feminino</v>
      </c>
      <c r="E151">
        <v>9</v>
      </c>
      <c r="F151">
        <v>1</v>
      </c>
      <c r="G151">
        <v>1</v>
      </c>
      <c r="H151">
        <v>0</v>
      </c>
      <c r="I151">
        <v>0</v>
      </c>
      <c r="J151">
        <v>1</v>
      </c>
      <c r="K151">
        <v>0</v>
      </c>
      <c r="L151">
        <v>0</v>
      </c>
      <c r="M151">
        <v>0</v>
      </c>
      <c r="N151">
        <v>9</v>
      </c>
    </row>
    <row r="152" spans="1:14" x14ac:dyDescent="0.2">
      <c r="A152">
        <v>151</v>
      </c>
      <c r="B152">
        <v>101</v>
      </c>
      <c r="C152">
        <v>2</v>
      </c>
      <c r="D152" t="str">
        <f>HLOOKUP(Dados!C152,'Variáveis e códigos'!$C$4:$F$5,2,FALSE)</f>
        <v>Feminino</v>
      </c>
      <c r="E152">
        <v>6</v>
      </c>
      <c r="F152">
        <v>1</v>
      </c>
      <c r="G152">
        <v>1</v>
      </c>
      <c r="H152">
        <v>0</v>
      </c>
      <c r="I152">
        <v>0</v>
      </c>
      <c r="J152">
        <v>2</v>
      </c>
      <c r="K152">
        <v>0</v>
      </c>
      <c r="L152">
        <v>0</v>
      </c>
      <c r="M152">
        <v>0</v>
      </c>
      <c r="N152">
        <v>7</v>
      </c>
    </row>
    <row r="153" spans="1:14" x14ac:dyDescent="0.2">
      <c r="A153">
        <v>152</v>
      </c>
      <c r="B153">
        <v>101</v>
      </c>
      <c r="C153">
        <v>1</v>
      </c>
      <c r="D153" t="str">
        <f>HLOOKUP(Dados!C153,'Variáveis e códigos'!$C$4:$F$5,2,FALSE)</f>
        <v>Masculino</v>
      </c>
      <c r="E153">
        <v>7</v>
      </c>
      <c r="F153">
        <v>1</v>
      </c>
      <c r="G153">
        <v>1</v>
      </c>
      <c r="H153">
        <v>1</v>
      </c>
      <c r="I153">
        <v>0</v>
      </c>
      <c r="J153">
        <v>2</v>
      </c>
      <c r="K153">
        <v>0</v>
      </c>
      <c r="L153">
        <v>0</v>
      </c>
      <c r="M153">
        <v>0</v>
      </c>
      <c r="N153">
        <v>8</v>
      </c>
    </row>
    <row r="154" spans="1:14" x14ac:dyDescent="0.2">
      <c r="A154">
        <v>153</v>
      </c>
      <c r="B154">
        <v>101</v>
      </c>
      <c r="C154">
        <v>2</v>
      </c>
      <c r="D154" t="str">
        <f>HLOOKUP(Dados!C154,'Variáveis e códigos'!$C$4:$F$5,2,FALSE)</f>
        <v>Feminino</v>
      </c>
      <c r="E154">
        <v>9</v>
      </c>
      <c r="F154">
        <v>1</v>
      </c>
      <c r="G154">
        <v>1</v>
      </c>
      <c r="H154">
        <v>0</v>
      </c>
      <c r="I154">
        <v>2</v>
      </c>
      <c r="J154">
        <v>2</v>
      </c>
      <c r="K154">
        <v>1</v>
      </c>
      <c r="L154">
        <v>1</v>
      </c>
      <c r="M154">
        <v>1</v>
      </c>
      <c r="N154">
        <v>8</v>
      </c>
    </row>
    <row r="155" spans="1:14" x14ac:dyDescent="0.2">
      <c r="A155">
        <v>154</v>
      </c>
      <c r="B155">
        <v>101</v>
      </c>
      <c r="C155">
        <v>2</v>
      </c>
      <c r="D155" t="str">
        <f>HLOOKUP(Dados!C155,'Variáveis e códigos'!$C$4:$F$5,2,FALSE)</f>
        <v>Feminino</v>
      </c>
      <c r="E155">
        <v>6</v>
      </c>
      <c r="F155">
        <v>1</v>
      </c>
      <c r="G155">
        <v>2</v>
      </c>
      <c r="H155">
        <v>0</v>
      </c>
      <c r="I155">
        <v>0</v>
      </c>
      <c r="J155">
        <v>2</v>
      </c>
      <c r="K155">
        <v>0</v>
      </c>
      <c r="L155">
        <v>0</v>
      </c>
      <c r="M155">
        <v>1</v>
      </c>
      <c r="N155">
        <v>10</v>
      </c>
    </row>
    <row r="156" spans="1:14" x14ac:dyDescent="0.2">
      <c r="A156">
        <v>155</v>
      </c>
      <c r="B156">
        <v>101</v>
      </c>
      <c r="C156">
        <v>1</v>
      </c>
      <c r="D156" t="str">
        <f>HLOOKUP(Dados!C156,'Variáveis e códigos'!$C$4:$F$5,2,FALSE)</f>
        <v>Masculino</v>
      </c>
      <c r="E156">
        <v>10</v>
      </c>
      <c r="F156">
        <v>1</v>
      </c>
      <c r="G156">
        <v>2</v>
      </c>
      <c r="H156">
        <v>0</v>
      </c>
      <c r="I156">
        <v>0</v>
      </c>
      <c r="J156">
        <v>2</v>
      </c>
      <c r="K156">
        <v>0</v>
      </c>
      <c r="L156">
        <v>0</v>
      </c>
      <c r="M156">
        <v>99</v>
      </c>
      <c r="N156">
        <v>10</v>
      </c>
    </row>
    <row r="157" spans="1:14" x14ac:dyDescent="0.2">
      <c r="A157">
        <v>156</v>
      </c>
      <c r="B157">
        <v>101</v>
      </c>
      <c r="C157">
        <v>1</v>
      </c>
      <c r="D157" t="str">
        <f>HLOOKUP(Dados!C157,'Variáveis e códigos'!$C$4:$F$5,2,FALSE)</f>
        <v>Masculino</v>
      </c>
      <c r="E157">
        <v>6</v>
      </c>
      <c r="F157">
        <v>1</v>
      </c>
      <c r="G157">
        <v>99</v>
      </c>
      <c r="H157">
        <v>1</v>
      </c>
      <c r="I157">
        <v>0</v>
      </c>
      <c r="J157">
        <v>2</v>
      </c>
      <c r="K157">
        <v>0</v>
      </c>
      <c r="L157">
        <v>0</v>
      </c>
      <c r="M157">
        <v>0</v>
      </c>
      <c r="N157">
        <v>8</v>
      </c>
    </row>
    <row r="158" spans="1:14" x14ac:dyDescent="0.2">
      <c r="A158">
        <v>157</v>
      </c>
      <c r="B158">
        <v>101</v>
      </c>
      <c r="C158">
        <v>1</v>
      </c>
      <c r="D158" t="str">
        <f>HLOOKUP(Dados!C158,'Variáveis e códigos'!$C$4:$F$5,2,FALSE)</f>
        <v>Masculino</v>
      </c>
      <c r="E158">
        <v>7</v>
      </c>
      <c r="F158">
        <v>1</v>
      </c>
      <c r="G158">
        <v>2</v>
      </c>
      <c r="H158">
        <v>0</v>
      </c>
      <c r="I158">
        <v>0</v>
      </c>
      <c r="J158">
        <v>2</v>
      </c>
      <c r="K158">
        <v>0</v>
      </c>
      <c r="L158">
        <v>0</v>
      </c>
      <c r="M158">
        <v>1</v>
      </c>
      <c r="N158">
        <v>12</v>
      </c>
    </row>
    <row r="159" spans="1:14" x14ac:dyDescent="0.2">
      <c r="A159">
        <v>158</v>
      </c>
      <c r="B159">
        <v>101</v>
      </c>
      <c r="C159">
        <v>1</v>
      </c>
      <c r="D159" t="str">
        <f>HLOOKUP(Dados!C159,'Variáveis e códigos'!$C$4:$F$5,2,FALSE)</f>
        <v>Masculino</v>
      </c>
      <c r="E159">
        <v>8</v>
      </c>
      <c r="F159">
        <v>1</v>
      </c>
      <c r="G159">
        <v>99</v>
      </c>
      <c r="H159">
        <v>0</v>
      </c>
      <c r="I159">
        <v>0</v>
      </c>
      <c r="J159">
        <v>2</v>
      </c>
      <c r="K159">
        <v>0</v>
      </c>
      <c r="L159">
        <v>0</v>
      </c>
      <c r="M159">
        <v>0</v>
      </c>
      <c r="N159">
        <v>8</v>
      </c>
    </row>
    <row r="160" spans="1:14" x14ac:dyDescent="0.2">
      <c r="A160">
        <v>159</v>
      </c>
      <c r="B160">
        <v>101</v>
      </c>
      <c r="C160">
        <v>1</v>
      </c>
      <c r="D160" t="str">
        <f>HLOOKUP(Dados!C160,'Variáveis e códigos'!$C$4:$F$5,2,FALSE)</f>
        <v>Masculino</v>
      </c>
      <c r="E160">
        <v>9</v>
      </c>
      <c r="F160">
        <v>1</v>
      </c>
      <c r="G160">
        <v>3</v>
      </c>
      <c r="H160">
        <v>0</v>
      </c>
      <c r="I160">
        <v>0</v>
      </c>
      <c r="J160">
        <v>2</v>
      </c>
      <c r="K160">
        <v>0</v>
      </c>
      <c r="L160">
        <v>0</v>
      </c>
      <c r="M160">
        <v>1</v>
      </c>
      <c r="N160">
        <v>8</v>
      </c>
    </row>
    <row r="161" spans="1:14" x14ac:dyDescent="0.2">
      <c r="A161">
        <v>160</v>
      </c>
      <c r="B161">
        <v>101</v>
      </c>
      <c r="C161">
        <v>1</v>
      </c>
      <c r="D161" t="str">
        <f>HLOOKUP(Dados!C161,'Variáveis e códigos'!$C$4:$F$5,2,FALSE)</f>
        <v>Masculino</v>
      </c>
      <c r="E161">
        <v>9</v>
      </c>
      <c r="F161">
        <v>1</v>
      </c>
      <c r="G161">
        <v>2</v>
      </c>
      <c r="H161">
        <v>1</v>
      </c>
      <c r="I161">
        <v>1</v>
      </c>
      <c r="J161">
        <v>1</v>
      </c>
      <c r="K161">
        <v>1</v>
      </c>
      <c r="L161">
        <v>0</v>
      </c>
      <c r="M161">
        <v>1</v>
      </c>
      <c r="N161">
        <v>8</v>
      </c>
    </row>
    <row r="162" spans="1:14" x14ac:dyDescent="0.2">
      <c r="A162">
        <v>161</v>
      </c>
      <c r="B162">
        <v>101</v>
      </c>
      <c r="C162">
        <v>1</v>
      </c>
      <c r="D162" t="str">
        <f>HLOOKUP(Dados!C162,'Variáveis e códigos'!$C$4:$F$5,2,FALSE)</f>
        <v>Masculino</v>
      </c>
      <c r="E162">
        <v>6</v>
      </c>
      <c r="F162">
        <v>1</v>
      </c>
      <c r="G162">
        <v>2</v>
      </c>
      <c r="H162">
        <v>1</v>
      </c>
      <c r="I162">
        <v>0</v>
      </c>
      <c r="J162">
        <v>2</v>
      </c>
      <c r="K162">
        <v>0</v>
      </c>
      <c r="L162">
        <v>0</v>
      </c>
      <c r="M162">
        <v>1</v>
      </c>
      <c r="N162">
        <v>8</v>
      </c>
    </row>
    <row r="163" spans="1:14" x14ac:dyDescent="0.2">
      <c r="A163">
        <v>162</v>
      </c>
      <c r="B163">
        <v>101</v>
      </c>
      <c r="C163">
        <v>2</v>
      </c>
      <c r="D163" t="str">
        <f>HLOOKUP(Dados!C163,'Variáveis e códigos'!$C$4:$F$5,2,FALSE)</f>
        <v>Feminino</v>
      </c>
      <c r="E163">
        <v>6</v>
      </c>
      <c r="F163">
        <v>1</v>
      </c>
      <c r="G163">
        <v>1</v>
      </c>
      <c r="H163">
        <v>2</v>
      </c>
      <c r="I163">
        <v>0</v>
      </c>
      <c r="J163">
        <v>2</v>
      </c>
      <c r="K163">
        <v>0</v>
      </c>
      <c r="L163">
        <v>0</v>
      </c>
      <c r="M163">
        <v>1</v>
      </c>
      <c r="N163">
        <v>7</v>
      </c>
    </row>
    <row r="164" spans="1:14" x14ac:dyDescent="0.2">
      <c r="A164">
        <v>163</v>
      </c>
      <c r="B164">
        <v>101</v>
      </c>
      <c r="C164">
        <v>1</v>
      </c>
      <c r="D164" t="str">
        <f>HLOOKUP(Dados!C164,'Variáveis e códigos'!$C$4:$F$5,2,FALSE)</f>
        <v>Masculino</v>
      </c>
      <c r="E164">
        <v>8</v>
      </c>
      <c r="F164">
        <v>1</v>
      </c>
      <c r="G164">
        <v>1</v>
      </c>
      <c r="H164">
        <v>1</v>
      </c>
      <c r="I164">
        <v>0</v>
      </c>
      <c r="J164">
        <v>2</v>
      </c>
      <c r="K164">
        <v>0</v>
      </c>
      <c r="L164">
        <v>0</v>
      </c>
      <c r="M164">
        <v>0</v>
      </c>
      <c r="N164">
        <v>8</v>
      </c>
    </row>
    <row r="165" spans="1:14" x14ac:dyDescent="0.2">
      <c r="A165">
        <v>164</v>
      </c>
      <c r="B165">
        <v>101</v>
      </c>
      <c r="C165">
        <v>2</v>
      </c>
      <c r="D165" t="str">
        <f>HLOOKUP(Dados!C165,'Variáveis e códigos'!$C$4:$F$5,2,FALSE)</f>
        <v>Feminino</v>
      </c>
      <c r="E165">
        <v>9</v>
      </c>
      <c r="F165">
        <v>1</v>
      </c>
      <c r="G165">
        <v>1</v>
      </c>
      <c r="H165">
        <v>1</v>
      </c>
      <c r="I165">
        <v>0</v>
      </c>
      <c r="J165">
        <v>2</v>
      </c>
      <c r="K165">
        <v>0</v>
      </c>
      <c r="L165">
        <v>0</v>
      </c>
      <c r="M165">
        <v>2</v>
      </c>
      <c r="N165">
        <v>8</v>
      </c>
    </row>
    <row r="166" spans="1:14" x14ac:dyDescent="0.2">
      <c r="A166">
        <v>165</v>
      </c>
      <c r="B166">
        <v>101</v>
      </c>
      <c r="C166">
        <v>1</v>
      </c>
      <c r="D166" t="str">
        <f>HLOOKUP(Dados!C166,'Variáveis e códigos'!$C$4:$F$5,2,FALSE)</f>
        <v>Masculino</v>
      </c>
      <c r="E166">
        <v>9</v>
      </c>
      <c r="F166">
        <v>1</v>
      </c>
      <c r="G166">
        <v>3</v>
      </c>
      <c r="H166">
        <v>1</v>
      </c>
      <c r="I166">
        <v>0</v>
      </c>
      <c r="J166">
        <v>2</v>
      </c>
      <c r="K166">
        <v>0</v>
      </c>
      <c r="L166">
        <v>0</v>
      </c>
      <c r="M166">
        <v>0</v>
      </c>
      <c r="N166">
        <v>7</v>
      </c>
    </row>
    <row r="167" spans="1:14" x14ac:dyDescent="0.2">
      <c r="A167">
        <v>166</v>
      </c>
      <c r="B167">
        <v>101</v>
      </c>
      <c r="C167">
        <v>1</v>
      </c>
      <c r="D167" t="str">
        <f>HLOOKUP(Dados!C167,'Variáveis e códigos'!$C$4:$F$5,2,FALSE)</f>
        <v>Masculino</v>
      </c>
      <c r="E167">
        <v>8</v>
      </c>
      <c r="F167">
        <v>1</v>
      </c>
      <c r="G167">
        <v>3</v>
      </c>
      <c r="H167">
        <v>0</v>
      </c>
      <c r="I167">
        <v>0</v>
      </c>
      <c r="J167">
        <v>2</v>
      </c>
      <c r="K167">
        <v>0</v>
      </c>
      <c r="L167">
        <v>1</v>
      </c>
      <c r="M167">
        <v>2</v>
      </c>
      <c r="N167">
        <v>8</v>
      </c>
    </row>
    <row r="168" spans="1:14" x14ac:dyDescent="0.2">
      <c r="A168">
        <v>167</v>
      </c>
      <c r="B168">
        <v>101</v>
      </c>
      <c r="C168">
        <v>1</v>
      </c>
      <c r="D168" t="str">
        <f>HLOOKUP(Dados!C168,'Variáveis e códigos'!$C$4:$F$5,2,FALSE)</f>
        <v>Masculino</v>
      </c>
      <c r="E168">
        <v>8</v>
      </c>
      <c r="F168">
        <v>1</v>
      </c>
      <c r="G168">
        <v>3</v>
      </c>
      <c r="H168">
        <v>1</v>
      </c>
      <c r="I168">
        <v>1</v>
      </c>
      <c r="J168">
        <v>2</v>
      </c>
      <c r="K168">
        <v>0</v>
      </c>
      <c r="L168">
        <v>0</v>
      </c>
      <c r="M168">
        <v>0</v>
      </c>
      <c r="N168">
        <v>8</v>
      </c>
    </row>
    <row r="169" spans="1:14" x14ac:dyDescent="0.2">
      <c r="A169">
        <v>168</v>
      </c>
      <c r="B169">
        <v>101</v>
      </c>
      <c r="C169">
        <v>1</v>
      </c>
      <c r="D169" t="str">
        <f>HLOOKUP(Dados!C169,'Variáveis e códigos'!$C$4:$F$5,2,FALSE)</f>
        <v>Masculino</v>
      </c>
      <c r="E169">
        <v>5</v>
      </c>
      <c r="F169">
        <v>1</v>
      </c>
      <c r="G169">
        <v>2</v>
      </c>
      <c r="H169">
        <v>2</v>
      </c>
      <c r="I169">
        <v>0</v>
      </c>
      <c r="J169">
        <v>2</v>
      </c>
      <c r="K169">
        <v>1</v>
      </c>
      <c r="L169">
        <v>0</v>
      </c>
      <c r="M169">
        <v>0</v>
      </c>
      <c r="N169">
        <v>10</v>
      </c>
    </row>
    <row r="170" spans="1:14" x14ac:dyDescent="0.2">
      <c r="A170">
        <v>169</v>
      </c>
      <c r="B170">
        <v>101</v>
      </c>
      <c r="C170">
        <v>1</v>
      </c>
      <c r="D170" t="str">
        <f>HLOOKUP(Dados!C170,'Variáveis e códigos'!$C$4:$F$5,2,FALSE)</f>
        <v>Masculino</v>
      </c>
      <c r="E170">
        <v>6</v>
      </c>
      <c r="F170">
        <v>1</v>
      </c>
      <c r="G170">
        <v>2</v>
      </c>
      <c r="H170">
        <v>2</v>
      </c>
      <c r="I170">
        <v>1</v>
      </c>
      <c r="J170">
        <v>1</v>
      </c>
      <c r="K170">
        <v>1</v>
      </c>
      <c r="L170">
        <v>1</v>
      </c>
      <c r="M170">
        <v>0</v>
      </c>
      <c r="N170">
        <v>8</v>
      </c>
    </row>
    <row r="171" spans="1:14" x14ac:dyDescent="0.2">
      <c r="A171">
        <v>170</v>
      </c>
      <c r="B171">
        <v>101</v>
      </c>
      <c r="C171">
        <v>1</v>
      </c>
      <c r="D171" t="str">
        <f>HLOOKUP(Dados!C171,'Variáveis e códigos'!$C$4:$F$5,2,FALSE)</f>
        <v>Masculino</v>
      </c>
      <c r="E171">
        <v>8</v>
      </c>
      <c r="F171">
        <v>1</v>
      </c>
      <c r="G171">
        <v>1</v>
      </c>
      <c r="H171">
        <v>1</v>
      </c>
      <c r="I171">
        <v>0</v>
      </c>
      <c r="J171">
        <v>2</v>
      </c>
      <c r="K171">
        <v>0</v>
      </c>
      <c r="L171">
        <v>0</v>
      </c>
      <c r="M171">
        <v>0</v>
      </c>
      <c r="N171">
        <v>9</v>
      </c>
    </row>
    <row r="172" spans="1:14" x14ac:dyDescent="0.2">
      <c r="A172">
        <v>171</v>
      </c>
      <c r="B172">
        <v>101</v>
      </c>
      <c r="C172">
        <v>2</v>
      </c>
      <c r="D172" t="str">
        <f>HLOOKUP(Dados!C172,'Variáveis e códigos'!$C$4:$F$5,2,FALSE)</f>
        <v>Feminino</v>
      </c>
      <c r="E172">
        <v>9</v>
      </c>
      <c r="F172">
        <v>1</v>
      </c>
      <c r="G172">
        <v>1</v>
      </c>
      <c r="H172">
        <v>0</v>
      </c>
      <c r="I172">
        <v>0</v>
      </c>
      <c r="J172">
        <v>2</v>
      </c>
      <c r="K172">
        <v>0</v>
      </c>
      <c r="L172">
        <v>1</v>
      </c>
      <c r="M172">
        <v>0</v>
      </c>
      <c r="N172">
        <v>8</v>
      </c>
    </row>
    <row r="173" spans="1:14" x14ac:dyDescent="0.2">
      <c r="A173">
        <v>172</v>
      </c>
      <c r="B173">
        <v>101</v>
      </c>
      <c r="C173">
        <v>1</v>
      </c>
      <c r="D173" t="str">
        <f>HLOOKUP(Dados!C173,'Variáveis e códigos'!$C$4:$F$5,2,FALSE)</f>
        <v>Masculino</v>
      </c>
      <c r="E173">
        <v>3</v>
      </c>
      <c r="F173">
        <v>0</v>
      </c>
      <c r="G173">
        <v>3</v>
      </c>
      <c r="H173">
        <v>1</v>
      </c>
      <c r="I173">
        <v>1</v>
      </c>
      <c r="J173">
        <v>2</v>
      </c>
      <c r="K173">
        <v>0</v>
      </c>
      <c r="L173">
        <v>0</v>
      </c>
      <c r="M173">
        <v>0</v>
      </c>
      <c r="N173">
        <v>9</v>
      </c>
    </row>
    <row r="174" spans="1:14" x14ac:dyDescent="0.2">
      <c r="A174">
        <v>173</v>
      </c>
      <c r="B174">
        <v>101</v>
      </c>
      <c r="C174">
        <v>1</v>
      </c>
      <c r="D174" t="str">
        <f>HLOOKUP(Dados!C174,'Variáveis e códigos'!$C$4:$F$5,2,FALSE)</f>
        <v>Masculino</v>
      </c>
      <c r="E174">
        <v>8</v>
      </c>
      <c r="F174">
        <v>1</v>
      </c>
      <c r="G174">
        <v>2</v>
      </c>
      <c r="H174">
        <v>1</v>
      </c>
      <c r="I174">
        <v>0</v>
      </c>
      <c r="J174">
        <v>2</v>
      </c>
      <c r="K174">
        <v>0</v>
      </c>
      <c r="L174">
        <v>1</v>
      </c>
      <c r="M174">
        <v>0</v>
      </c>
      <c r="N174">
        <v>8</v>
      </c>
    </row>
    <row r="175" spans="1:14" x14ac:dyDescent="0.2">
      <c r="A175">
        <v>174</v>
      </c>
      <c r="B175">
        <v>101</v>
      </c>
      <c r="C175">
        <v>2</v>
      </c>
      <c r="D175" t="str">
        <f>HLOOKUP(Dados!C175,'Variáveis e códigos'!$C$4:$F$5,2,FALSE)</f>
        <v>Feminino</v>
      </c>
      <c r="E175">
        <v>7</v>
      </c>
      <c r="F175">
        <v>1</v>
      </c>
      <c r="G175">
        <v>2</v>
      </c>
      <c r="H175">
        <v>2</v>
      </c>
      <c r="I175">
        <v>1</v>
      </c>
      <c r="J175">
        <v>1</v>
      </c>
      <c r="K175">
        <v>0</v>
      </c>
      <c r="L175">
        <v>0</v>
      </c>
      <c r="M175">
        <v>1</v>
      </c>
      <c r="N175">
        <v>10</v>
      </c>
    </row>
    <row r="176" spans="1:14" x14ac:dyDescent="0.2">
      <c r="A176">
        <v>175</v>
      </c>
      <c r="B176">
        <v>101</v>
      </c>
      <c r="C176">
        <v>2</v>
      </c>
      <c r="D176" t="str">
        <f>HLOOKUP(Dados!C176,'Variáveis e códigos'!$C$4:$F$5,2,FALSE)</f>
        <v>Feminino</v>
      </c>
      <c r="E176">
        <v>7</v>
      </c>
      <c r="F176">
        <v>1</v>
      </c>
      <c r="G176">
        <v>2</v>
      </c>
      <c r="H176">
        <v>0</v>
      </c>
      <c r="I176">
        <v>0</v>
      </c>
      <c r="J176">
        <v>2</v>
      </c>
      <c r="K176">
        <v>0</v>
      </c>
      <c r="L176">
        <v>0</v>
      </c>
      <c r="M176">
        <v>0</v>
      </c>
      <c r="N176">
        <v>10</v>
      </c>
    </row>
    <row r="177" spans="1:14" x14ac:dyDescent="0.2">
      <c r="A177">
        <v>176</v>
      </c>
      <c r="B177">
        <v>101</v>
      </c>
      <c r="C177">
        <v>1</v>
      </c>
      <c r="D177" t="str">
        <f>HLOOKUP(Dados!C177,'Variáveis e códigos'!$C$4:$F$5,2,FALSE)</f>
        <v>Masculino</v>
      </c>
      <c r="E177">
        <v>9</v>
      </c>
      <c r="F177">
        <v>1</v>
      </c>
      <c r="G177">
        <v>2</v>
      </c>
      <c r="H177">
        <v>1</v>
      </c>
      <c r="I177">
        <v>0</v>
      </c>
      <c r="J177">
        <v>2</v>
      </c>
      <c r="K177">
        <v>0</v>
      </c>
      <c r="L177">
        <v>0</v>
      </c>
      <c r="M177">
        <v>1</v>
      </c>
      <c r="N177">
        <v>8</v>
      </c>
    </row>
    <row r="178" spans="1:14" x14ac:dyDescent="0.2">
      <c r="A178">
        <v>177</v>
      </c>
      <c r="B178">
        <v>101</v>
      </c>
      <c r="C178">
        <v>1</v>
      </c>
      <c r="D178" t="str">
        <f>HLOOKUP(Dados!C178,'Variáveis e códigos'!$C$4:$F$5,2,FALSE)</f>
        <v>Masculino</v>
      </c>
      <c r="E178">
        <v>5</v>
      </c>
      <c r="F178">
        <v>0</v>
      </c>
      <c r="G178">
        <v>3</v>
      </c>
      <c r="H178">
        <v>1</v>
      </c>
      <c r="I178">
        <v>0</v>
      </c>
      <c r="J178">
        <v>2</v>
      </c>
      <c r="K178">
        <v>1</v>
      </c>
      <c r="L178">
        <v>0</v>
      </c>
      <c r="M178">
        <v>0</v>
      </c>
      <c r="N178">
        <v>9</v>
      </c>
    </row>
    <row r="179" spans="1:14" x14ac:dyDescent="0.2">
      <c r="A179">
        <v>178</v>
      </c>
      <c r="B179">
        <v>101</v>
      </c>
      <c r="C179">
        <v>2</v>
      </c>
      <c r="D179" t="str">
        <f>HLOOKUP(Dados!C179,'Variáveis e códigos'!$C$4:$F$5,2,FALSE)</f>
        <v>Feminino</v>
      </c>
      <c r="E179">
        <v>9</v>
      </c>
      <c r="F179">
        <v>1</v>
      </c>
      <c r="G179">
        <v>1</v>
      </c>
      <c r="H179">
        <v>0</v>
      </c>
      <c r="I179">
        <v>0</v>
      </c>
      <c r="J179">
        <v>2</v>
      </c>
      <c r="K179">
        <v>0</v>
      </c>
      <c r="L179">
        <v>0</v>
      </c>
      <c r="M179">
        <v>1</v>
      </c>
      <c r="N179">
        <v>8</v>
      </c>
    </row>
    <row r="180" spans="1:14" x14ac:dyDescent="0.2">
      <c r="A180">
        <v>179</v>
      </c>
      <c r="B180">
        <v>101</v>
      </c>
      <c r="C180">
        <v>1</v>
      </c>
      <c r="D180" t="str">
        <f>HLOOKUP(Dados!C180,'Variáveis e códigos'!$C$4:$F$5,2,FALSE)</f>
        <v>Masculino</v>
      </c>
      <c r="E180">
        <v>5</v>
      </c>
      <c r="F180">
        <v>1</v>
      </c>
      <c r="G180">
        <v>2</v>
      </c>
      <c r="H180">
        <v>2</v>
      </c>
      <c r="I180">
        <v>1</v>
      </c>
      <c r="J180">
        <v>2</v>
      </c>
      <c r="K180">
        <v>1</v>
      </c>
      <c r="L180">
        <v>0</v>
      </c>
      <c r="M180">
        <v>0</v>
      </c>
      <c r="N180">
        <v>10</v>
      </c>
    </row>
    <row r="181" spans="1:14" x14ac:dyDescent="0.2">
      <c r="A181">
        <v>180</v>
      </c>
      <c r="B181">
        <v>101</v>
      </c>
      <c r="C181">
        <v>1</v>
      </c>
      <c r="D181" t="str">
        <f>HLOOKUP(Dados!C181,'Variáveis e códigos'!$C$4:$F$5,2,FALSE)</f>
        <v>Masculino</v>
      </c>
      <c r="E181">
        <v>8</v>
      </c>
      <c r="F181">
        <v>1</v>
      </c>
      <c r="G181">
        <v>2</v>
      </c>
      <c r="H181">
        <v>2</v>
      </c>
      <c r="I181">
        <v>1</v>
      </c>
      <c r="J181">
        <v>1</v>
      </c>
      <c r="K181">
        <v>0</v>
      </c>
      <c r="L181">
        <v>1</v>
      </c>
      <c r="M181">
        <v>0</v>
      </c>
      <c r="N181">
        <v>8</v>
      </c>
    </row>
    <row r="182" spans="1:14" x14ac:dyDescent="0.2">
      <c r="A182">
        <v>181</v>
      </c>
      <c r="B182">
        <v>101</v>
      </c>
      <c r="C182">
        <v>1</v>
      </c>
      <c r="D182" t="str">
        <f>HLOOKUP(Dados!C182,'Variáveis e códigos'!$C$4:$F$5,2,FALSE)</f>
        <v>Masculino</v>
      </c>
      <c r="E182">
        <v>9</v>
      </c>
      <c r="F182">
        <v>1</v>
      </c>
      <c r="G182">
        <v>1</v>
      </c>
      <c r="H182">
        <v>1</v>
      </c>
      <c r="I182">
        <v>2</v>
      </c>
      <c r="J182">
        <v>0</v>
      </c>
      <c r="K182">
        <v>1</v>
      </c>
      <c r="L182">
        <v>0</v>
      </c>
      <c r="M182">
        <v>0</v>
      </c>
      <c r="N182">
        <v>10</v>
      </c>
    </row>
    <row r="183" spans="1:14" x14ac:dyDescent="0.2">
      <c r="A183">
        <v>182</v>
      </c>
      <c r="B183">
        <v>101</v>
      </c>
      <c r="C183">
        <v>1</v>
      </c>
      <c r="D183" t="str">
        <f>HLOOKUP(Dados!C183,'Variáveis e códigos'!$C$4:$F$5,2,FALSE)</f>
        <v>Masculino</v>
      </c>
      <c r="E183">
        <v>9</v>
      </c>
      <c r="F183">
        <v>1</v>
      </c>
      <c r="G183">
        <v>1</v>
      </c>
      <c r="H183">
        <v>2</v>
      </c>
      <c r="I183">
        <v>1</v>
      </c>
      <c r="J183">
        <v>2</v>
      </c>
      <c r="K183">
        <v>1</v>
      </c>
      <c r="L183">
        <v>1</v>
      </c>
      <c r="M183">
        <v>1</v>
      </c>
      <c r="N183">
        <v>7</v>
      </c>
    </row>
    <row r="184" spans="1:14" x14ac:dyDescent="0.2">
      <c r="A184">
        <v>183</v>
      </c>
      <c r="B184">
        <v>101</v>
      </c>
      <c r="C184">
        <v>1</v>
      </c>
      <c r="D184" t="str">
        <f>HLOOKUP(Dados!C184,'Variáveis e códigos'!$C$4:$F$5,2,FALSE)</f>
        <v>Masculino</v>
      </c>
      <c r="E184">
        <v>8</v>
      </c>
      <c r="F184">
        <v>1</v>
      </c>
      <c r="G184">
        <v>99</v>
      </c>
      <c r="H184">
        <v>1</v>
      </c>
      <c r="I184">
        <v>0</v>
      </c>
      <c r="J184">
        <v>2</v>
      </c>
      <c r="K184">
        <v>0</v>
      </c>
      <c r="L184">
        <v>0</v>
      </c>
      <c r="M184">
        <v>0</v>
      </c>
      <c r="N184">
        <v>9</v>
      </c>
    </row>
    <row r="185" spans="1:14" x14ac:dyDescent="0.2">
      <c r="A185">
        <v>184</v>
      </c>
      <c r="B185">
        <v>101</v>
      </c>
      <c r="C185">
        <v>1</v>
      </c>
      <c r="D185" t="str">
        <f>HLOOKUP(Dados!C185,'Variáveis e códigos'!$C$4:$F$5,2,FALSE)</f>
        <v>Masculino</v>
      </c>
      <c r="E185">
        <v>6</v>
      </c>
      <c r="F185">
        <v>1</v>
      </c>
      <c r="G185">
        <v>3</v>
      </c>
      <c r="H185">
        <v>0</v>
      </c>
      <c r="I185">
        <v>99</v>
      </c>
      <c r="J185">
        <v>2</v>
      </c>
      <c r="K185">
        <v>0</v>
      </c>
      <c r="L185">
        <v>0</v>
      </c>
      <c r="M185">
        <v>1</v>
      </c>
      <c r="N185">
        <v>10</v>
      </c>
    </row>
    <row r="186" spans="1:14" x14ac:dyDescent="0.2">
      <c r="A186">
        <v>185</v>
      </c>
      <c r="B186">
        <v>101</v>
      </c>
      <c r="C186">
        <v>1</v>
      </c>
      <c r="D186" t="str">
        <f>HLOOKUP(Dados!C186,'Variáveis e códigos'!$C$4:$F$5,2,FALSE)</f>
        <v>Masculino</v>
      </c>
      <c r="E186">
        <v>9</v>
      </c>
      <c r="F186">
        <v>1</v>
      </c>
      <c r="G186">
        <v>2</v>
      </c>
      <c r="H186">
        <v>1</v>
      </c>
      <c r="I186">
        <v>0</v>
      </c>
      <c r="J186">
        <v>2</v>
      </c>
      <c r="K186">
        <v>0</v>
      </c>
      <c r="L186">
        <v>0</v>
      </c>
      <c r="M186">
        <v>1</v>
      </c>
      <c r="N186">
        <v>9</v>
      </c>
    </row>
    <row r="187" spans="1:14" x14ac:dyDescent="0.2">
      <c r="A187">
        <v>186</v>
      </c>
      <c r="B187">
        <v>101</v>
      </c>
      <c r="C187">
        <v>2</v>
      </c>
      <c r="D187" t="str">
        <f>HLOOKUP(Dados!C187,'Variáveis e códigos'!$C$4:$F$5,2,FALSE)</f>
        <v>Feminino</v>
      </c>
      <c r="E187">
        <v>9</v>
      </c>
      <c r="F187">
        <v>1</v>
      </c>
      <c r="G187">
        <v>2</v>
      </c>
      <c r="H187">
        <v>0</v>
      </c>
      <c r="I187">
        <v>0</v>
      </c>
      <c r="J187">
        <v>2</v>
      </c>
      <c r="K187">
        <v>0</v>
      </c>
      <c r="L187">
        <v>0</v>
      </c>
      <c r="M187">
        <v>0</v>
      </c>
      <c r="N187">
        <v>8</v>
      </c>
    </row>
    <row r="188" spans="1:14" x14ac:dyDescent="0.2">
      <c r="A188">
        <v>187</v>
      </c>
      <c r="B188">
        <v>101</v>
      </c>
      <c r="C188">
        <v>1</v>
      </c>
      <c r="D188" t="str">
        <f>HLOOKUP(Dados!C188,'Variáveis e códigos'!$C$4:$F$5,2,FALSE)</f>
        <v>Masculino</v>
      </c>
      <c r="E188">
        <v>7</v>
      </c>
      <c r="F188">
        <v>1</v>
      </c>
      <c r="G188">
        <v>99</v>
      </c>
      <c r="H188">
        <v>0</v>
      </c>
      <c r="I188">
        <v>0</v>
      </c>
      <c r="J188">
        <v>2</v>
      </c>
      <c r="K188">
        <v>0</v>
      </c>
      <c r="L188">
        <v>0</v>
      </c>
      <c r="M188">
        <v>0</v>
      </c>
      <c r="N188">
        <v>8</v>
      </c>
    </row>
    <row r="189" spans="1:14" x14ac:dyDescent="0.2">
      <c r="A189">
        <v>188</v>
      </c>
      <c r="B189">
        <v>101</v>
      </c>
      <c r="C189">
        <v>1</v>
      </c>
      <c r="D189" t="str">
        <f>HLOOKUP(Dados!C189,'Variáveis e códigos'!$C$4:$F$5,2,FALSE)</f>
        <v>Masculino</v>
      </c>
      <c r="E189">
        <v>10</v>
      </c>
      <c r="F189">
        <v>1</v>
      </c>
      <c r="G189">
        <v>1</v>
      </c>
      <c r="H189">
        <v>0</v>
      </c>
      <c r="I189">
        <v>0</v>
      </c>
      <c r="J189">
        <v>2</v>
      </c>
      <c r="K189">
        <v>0</v>
      </c>
      <c r="L189">
        <v>0</v>
      </c>
      <c r="M189">
        <v>0</v>
      </c>
      <c r="N189">
        <v>7</v>
      </c>
    </row>
    <row r="190" spans="1:14" x14ac:dyDescent="0.2">
      <c r="A190">
        <v>189</v>
      </c>
      <c r="B190">
        <v>101</v>
      </c>
      <c r="C190">
        <v>1</v>
      </c>
      <c r="D190" t="str">
        <f>HLOOKUP(Dados!C190,'Variáveis e códigos'!$C$4:$F$5,2,FALSE)</f>
        <v>Masculino</v>
      </c>
      <c r="E190">
        <v>8</v>
      </c>
      <c r="F190">
        <v>1</v>
      </c>
      <c r="G190">
        <v>3</v>
      </c>
      <c r="H190">
        <v>2</v>
      </c>
      <c r="I190">
        <v>0</v>
      </c>
      <c r="J190">
        <v>1</v>
      </c>
      <c r="K190">
        <v>1</v>
      </c>
      <c r="L190">
        <v>0</v>
      </c>
      <c r="M190">
        <v>2</v>
      </c>
      <c r="N190">
        <v>7</v>
      </c>
    </row>
    <row r="191" spans="1:14" x14ac:dyDescent="0.2">
      <c r="A191">
        <v>190</v>
      </c>
      <c r="B191">
        <v>101</v>
      </c>
      <c r="C191">
        <v>1</v>
      </c>
      <c r="D191" t="str">
        <f>HLOOKUP(Dados!C191,'Variáveis e códigos'!$C$4:$F$5,2,FALSE)</f>
        <v>Masculino</v>
      </c>
      <c r="E191">
        <v>8</v>
      </c>
      <c r="F191">
        <v>1</v>
      </c>
      <c r="G191">
        <v>3</v>
      </c>
      <c r="H191">
        <v>0</v>
      </c>
      <c r="I191">
        <v>0</v>
      </c>
      <c r="J191">
        <v>2</v>
      </c>
      <c r="K191">
        <v>0</v>
      </c>
      <c r="L191">
        <v>0</v>
      </c>
      <c r="M191">
        <v>99</v>
      </c>
      <c r="N191">
        <v>9</v>
      </c>
    </row>
    <row r="192" spans="1:14" x14ac:dyDescent="0.2">
      <c r="A192">
        <v>191</v>
      </c>
      <c r="B192">
        <v>101</v>
      </c>
      <c r="C192">
        <v>2</v>
      </c>
      <c r="D192" t="str">
        <f>HLOOKUP(Dados!C192,'Variáveis e códigos'!$C$4:$F$5,2,FALSE)</f>
        <v>Feminino</v>
      </c>
      <c r="E192">
        <v>7</v>
      </c>
      <c r="F192">
        <v>1</v>
      </c>
      <c r="G192">
        <v>99</v>
      </c>
      <c r="H192">
        <v>2</v>
      </c>
      <c r="I192">
        <v>2</v>
      </c>
      <c r="J192">
        <v>2</v>
      </c>
      <c r="K192">
        <v>0</v>
      </c>
      <c r="L192">
        <v>1</v>
      </c>
      <c r="M192">
        <v>0</v>
      </c>
      <c r="N192">
        <v>8</v>
      </c>
    </row>
    <row r="193" spans="1:14" x14ac:dyDescent="0.2">
      <c r="A193">
        <v>192</v>
      </c>
      <c r="B193">
        <v>101</v>
      </c>
      <c r="C193">
        <v>1</v>
      </c>
      <c r="D193" t="str">
        <f>HLOOKUP(Dados!C193,'Variáveis e códigos'!$C$4:$F$5,2,FALSE)</f>
        <v>Masculino</v>
      </c>
      <c r="E193">
        <v>9</v>
      </c>
      <c r="F193">
        <v>1</v>
      </c>
      <c r="G193">
        <v>1</v>
      </c>
      <c r="H193">
        <v>1</v>
      </c>
      <c r="I193">
        <v>0</v>
      </c>
      <c r="J193">
        <v>2</v>
      </c>
      <c r="K193">
        <v>0</v>
      </c>
      <c r="L193">
        <v>0</v>
      </c>
      <c r="M193">
        <v>0</v>
      </c>
      <c r="N193">
        <v>8</v>
      </c>
    </row>
    <row r="194" spans="1:14" x14ac:dyDescent="0.2">
      <c r="A194">
        <v>193</v>
      </c>
      <c r="B194">
        <v>101</v>
      </c>
      <c r="C194">
        <v>1</v>
      </c>
      <c r="D194" t="str">
        <f>HLOOKUP(Dados!C194,'Variáveis e códigos'!$C$4:$F$5,2,FALSE)</f>
        <v>Masculino</v>
      </c>
      <c r="E194">
        <v>9</v>
      </c>
      <c r="F194">
        <v>1</v>
      </c>
      <c r="G194">
        <v>2</v>
      </c>
      <c r="H194">
        <v>0</v>
      </c>
      <c r="I194">
        <v>0</v>
      </c>
      <c r="J194">
        <v>2</v>
      </c>
      <c r="K194">
        <v>0</v>
      </c>
      <c r="L194">
        <v>0</v>
      </c>
      <c r="M194">
        <v>0</v>
      </c>
      <c r="N194">
        <v>9</v>
      </c>
    </row>
    <row r="195" spans="1:14" x14ac:dyDescent="0.2">
      <c r="A195">
        <v>194</v>
      </c>
      <c r="B195">
        <v>101</v>
      </c>
      <c r="C195">
        <v>1</v>
      </c>
      <c r="D195" t="str">
        <f>HLOOKUP(Dados!C195,'Variáveis e códigos'!$C$4:$F$5,2,FALSE)</f>
        <v>Masculino</v>
      </c>
      <c r="E195">
        <v>8</v>
      </c>
      <c r="F195">
        <v>1</v>
      </c>
      <c r="G195">
        <v>2</v>
      </c>
      <c r="H195">
        <v>0</v>
      </c>
      <c r="I195">
        <v>0</v>
      </c>
      <c r="J195">
        <v>2</v>
      </c>
      <c r="K195">
        <v>0</v>
      </c>
      <c r="L195">
        <v>0</v>
      </c>
      <c r="M195">
        <v>0</v>
      </c>
      <c r="N195">
        <v>12</v>
      </c>
    </row>
    <row r="196" spans="1:14" x14ac:dyDescent="0.2">
      <c r="A196">
        <v>195</v>
      </c>
      <c r="B196">
        <v>101</v>
      </c>
      <c r="C196">
        <v>1</v>
      </c>
      <c r="D196" t="str">
        <f>HLOOKUP(Dados!C196,'Variáveis e códigos'!$C$4:$F$5,2,FALSE)</f>
        <v>Masculino</v>
      </c>
      <c r="E196">
        <v>8</v>
      </c>
      <c r="F196">
        <v>1</v>
      </c>
      <c r="G196">
        <v>2</v>
      </c>
      <c r="H196">
        <v>1</v>
      </c>
      <c r="I196">
        <v>1</v>
      </c>
      <c r="J196">
        <v>2</v>
      </c>
      <c r="K196">
        <v>0</v>
      </c>
      <c r="L196">
        <v>0</v>
      </c>
      <c r="M196">
        <v>2</v>
      </c>
      <c r="N196">
        <v>8</v>
      </c>
    </row>
    <row r="197" spans="1:14" x14ac:dyDescent="0.2">
      <c r="A197">
        <v>196</v>
      </c>
      <c r="B197">
        <v>101</v>
      </c>
      <c r="C197">
        <v>1</v>
      </c>
      <c r="D197" t="str">
        <f>HLOOKUP(Dados!C197,'Variáveis e códigos'!$C$4:$F$5,2,FALSE)</f>
        <v>Masculino</v>
      </c>
      <c r="E197">
        <v>6</v>
      </c>
      <c r="F197">
        <v>1</v>
      </c>
      <c r="G197">
        <v>3</v>
      </c>
      <c r="H197">
        <v>2</v>
      </c>
      <c r="I197">
        <v>0</v>
      </c>
      <c r="J197">
        <v>0</v>
      </c>
      <c r="K197">
        <v>2</v>
      </c>
      <c r="L197">
        <v>1</v>
      </c>
      <c r="M197">
        <v>0</v>
      </c>
      <c r="N197">
        <v>9</v>
      </c>
    </row>
    <row r="198" spans="1:14" x14ac:dyDescent="0.2">
      <c r="A198">
        <v>197</v>
      </c>
      <c r="B198">
        <v>101</v>
      </c>
      <c r="C198">
        <v>1</v>
      </c>
      <c r="D198" t="str">
        <f>HLOOKUP(Dados!C198,'Variáveis e códigos'!$C$4:$F$5,2,FALSE)</f>
        <v>Masculino</v>
      </c>
      <c r="E198">
        <v>9</v>
      </c>
      <c r="F198">
        <v>1</v>
      </c>
      <c r="G198">
        <v>1</v>
      </c>
      <c r="H198">
        <v>0</v>
      </c>
      <c r="I198">
        <v>0</v>
      </c>
      <c r="J198">
        <v>2</v>
      </c>
      <c r="K198">
        <v>0</v>
      </c>
      <c r="L198">
        <v>0</v>
      </c>
      <c r="M198">
        <v>1</v>
      </c>
      <c r="N198">
        <v>8</v>
      </c>
    </row>
    <row r="199" spans="1:14" x14ac:dyDescent="0.2">
      <c r="A199">
        <v>198</v>
      </c>
      <c r="B199">
        <v>101</v>
      </c>
      <c r="C199">
        <v>1</v>
      </c>
      <c r="D199" t="str">
        <f>HLOOKUP(Dados!C199,'Variáveis e códigos'!$C$4:$F$5,2,FALSE)</f>
        <v>Masculino</v>
      </c>
      <c r="E199">
        <v>3</v>
      </c>
      <c r="F199">
        <v>0</v>
      </c>
      <c r="G199">
        <v>3</v>
      </c>
      <c r="H199">
        <v>0</v>
      </c>
      <c r="I199">
        <v>0</v>
      </c>
      <c r="J199">
        <v>2</v>
      </c>
      <c r="K199">
        <v>0</v>
      </c>
      <c r="L199">
        <v>0</v>
      </c>
      <c r="M199">
        <v>0</v>
      </c>
      <c r="N199">
        <v>9</v>
      </c>
    </row>
    <row r="200" spans="1:14" x14ac:dyDescent="0.2">
      <c r="A200">
        <v>199</v>
      </c>
      <c r="B200">
        <v>101</v>
      </c>
      <c r="C200">
        <v>1</v>
      </c>
      <c r="D200" t="str">
        <f>HLOOKUP(Dados!C200,'Variáveis e códigos'!$C$4:$F$5,2,FALSE)</f>
        <v>Masculino</v>
      </c>
      <c r="E200">
        <v>8</v>
      </c>
      <c r="F200">
        <v>1</v>
      </c>
      <c r="G200">
        <v>1</v>
      </c>
      <c r="H200">
        <v>2</v>
      </c>
      <c r="I200">
        <v>2</v>
      </c>
      <c r="J200">
        <v>1</v>
      </c>
      <c r="K200">
        <v>2</v>
      </c>
      <c r="L200">
        <v>2</v>
      </c>
      <c r="M200">
        <v>0</v>
      </c>
      <c r="N200">
        <v>9</v>
      </c>
    </row>
    <row r="201" spans="1:14" x14ac:dyDescent="0.2">
      <c r="A201">
        <v>200</v>
      </c>
      <c r="B201">
        <v>101</v>
      </c>
      <c r="C201">
        <v>1</v>
      </c>
      <c r="D201" t="str">
        <f>HLOOKUP(Dados!C201,'Variáveis e códigos'!$C$4:$F$5,2,FALSE)</f>
        <v>Masculino</v>
      </c>
      <c r="E201">
        <v>9</v>
      </c>
      <c r="F201">
        <v>1</v>
      </c>
      <c r="G201">
        <v>3</v>
      </c>
      <c r="H201">
        <v>2</v>
      </c>
      <c r="I201">
        <v>1</v>
      </c>
      <c r="J201">
        <v>1</v>
      </c>
      <c r="K201">
        <v>1</v>
      </c>
      <c r="L201">
        <v>1</v>
      </c>
      <c r="M201">
        <v>1</v>
      </c>
      <c r="N201">
        <v>10</v>
      </c>
    </row>
    <row r="202" spans="1:14" x14ac:dyDescent="0.2">
      <c r="A202">
        <v>201</v>
      </c>
      <c r="B202">
        <v>101</v>
      </c>
      <c r="C202">
        <v>2</v>
      </c>
      <c r="D202" t="str">
        <f>HLOOKUP(Dados!C202,'Variáveis e códigos'!$C$4:$F$5,2,FALSE)</f>
        <v>Feminino</v>
      </c>
      <c r="E202">
        <v>7</v>
      </c>
      <c r="F202">
        <v>1</v>
      </c>
      <c r="G202">
        <v>2</v>
      </c>
      <c r="H202">
        <v>2</v>
      </c>
      <c r="I202">
        <v>1</v>
      </c>
      <c r="J202">
        <v>1</v>
      </c>
      <c r="K202">
        <v>1</v>
      </c>
      <c r="L202">
        <v>2</v>
      </c>
      <c r="M202">
        <v>99</v>
      </c>
      <c r="N202">
        <v>10</v>
      </c>
    </row>
    <row r="203" spans="1:14" x14ac:dyDescent="0.2">
      <c r="A203">
        <v>202</v>
      </c>
      <c r="B203">
        <v>101</v>
      </c>
      <c r="C203">
        <v>1</v>
      </c>
      <c r="D203" t="str">
        <f>HLOOKUP(Dados!C203,'Variáveis e códigos'!$C$4:$F$5,2,FALSE)</f>
        <v>Masculino</v>
      </c>
      <c r="E203">
        <v>6</v>
      </c>
      <c r="F203">
        <v>1</v>
      </c>
      <c r="G203">
        <v>3</v>
      </c>
      <c r="H203">
        <v>2</v>
      </c>
      <c r="I203">
        <v>1</v>
      </c>
      <c r="J203">
        <v>0</v>
      </c>
      <c r="K203">
        <v>1</v>
      </c>
      <c r="L203">
        <v>1</v>
      </c>
      <c r="M203">
        <v>0</v>
      </c>
      <c r="N203">
        <v>8</v>
      </c>
    </row>
    <row r="204" spans="1:14" x14ac:dyDescent="0.2">
      <c r="A204">
        <v>203</v>
      </c>
      <c r="B204">
        <v>101</v>
      </c>
      <c r="C204">
        <v>1</v>
      </c>
      <c r="D204" t="str">
        <f>HLOOKUP(Dados!C204,'Variáveis e códigos'!$C$4:$F$5,2,FALSE)</f>
        <v>Masculino</v>
      </c>
      <c r="E204">
        <v>7</v>
      </c>
      <c r="F204">
        <v>1</v>
      </c>
      <c r="G204">
        <v>2</v>
      </c>
      <c r="H204">
        <v>0</v>
      </c>
      <c r="I204">
        <v>0</v>
      </c>
      <c r="J204">
        <v>2</v>
      </c>
      <c r="K204">
        <v>0</v>
      </c>
      <c r="L204">
        <v>0</v>
      </c>
      <c r="M204">
        <v>0</v>
      </c>
      <c r="N204">
        <v>8</v>
      </c>
    </row>
    <row r="205" spans="1:14" x14ac:dyDescent="0.2">
      <c r="A205">
        <v>204</v>
      </c>
      <c r="B205">
        <v>101</v>
      </c>
      <c r="C205">
        <v>2</v>
      </c>
      <c r="D205" t="str">
        <f>HLOOKUP(Dados!C205,'Variáveis e códigos'!$C$4:$F$5,2,FALSE)</f>
        <v>Feminino</v>
      </c>
      <c r="E205">
        <v>7</v>
      </c>
      <c r="F205">
        <v>1</v>
      </c>
      <c r="G205">
        <v>2</v>
      </c>
      <c r="H205">
        <v>0</v>
      </c>
      <c r="I205">
        <v>0</v>
      </c>
      <c r="J205">
        <v>2</v>
      </c>
      <c r="K205">
        <v>0</v>
      </c>
      <c r="L205">
        <v>0</v>
      </c>
      <c r="M205">
        <v>1</v>
      </c>
      <c r="N205">
        <v>8</v>
      </c>
    </row>
    <row r="206" spans="1:14" x14ac:dyDescent="0.2">
      <c r="A206">
        <v>205</v>
      </c>
      <c r="B206">
        <v>101</v>
      </c>
      <c r="C206">
        <v>1</v>
      </c>
      <c r="D206" t="str">
        <f>HLOOKUP(Dados!C206,'Variáveis e códigos'!$C$4:$F$5,2,FALSE)</f>
        <v>Masculino</v>
      </c>
      <c r="E206">
        <v>6</v>
      </c>
      <c r="F206">
        <v>1</v>
      </c>
      <c r="G206">
        <v>2</v>
      </c>
      <c r="H206">
        <v>1</v>
      </c>
      <c r="I206">
        <v>2</v>
      </c>
      <c r="J206">
        <v>1</v>
      </c>
      <c r="K206">
        <v>1</v>
      </c>
      <c r="L206">
        <v>2</v>
      </c>
      <c r="M206">
        <v>2</v>
      </c>
      <c r="N206">
        <v>12</v>
      </c>
    </row>
    <row r="207" spans="1:14" x14ac:dyDescent="0.2">
      <c r="A207">
        <v>206</v>
      </c>
      <c r="B207">
        <v>101</v>
      </c>
      <c r="C207">
        <v>1</v>
      </c>
      <c r="D207" t="str">
        <f>HLOOKUP(Dados!C207,'Variáveis e códigos'!$C$4:$F$5,2,FALSE)</f>
        <v>Masculino</v>
      </c>
      <c r="E207">
        <v>8</v>
      </c>
      <c r="F207">
        <v>1</v>
      </c>
      <c r="G207">
        <v>3</v>
      </c>
      <c r="H207">
        <v>0</v>
      </c>
      <c r="I207">
        <v>0</v>
      </c>
      <c r="J207">
        <v>2</v>
      </c>
      <c r="K207">
        <v>0</v>
      </c>
      <c r="L207">
        <v>0</v>
      </c>
      <c r="M207">
        <v>0</v>
      </c>
      <c r="N207">
        <v>10</v>
      </c>
    </row>
    <row r="208" spans="1:14" x14ac:dyDescent="0.2">
      <c r="A208">
        <v>207</v>
      </c>
      <c r="B208">
        <v>101</v>
      </c>
      <c r="C208">
        <v>2</v>
      </c>
      <c r="D208" t="str">
        <f>HLOOKUP(Dados!C208,'Variáveis e códigos'!$C$4:$F$5,2,FALSE)</f>
        <v>Feminino</v>
      </c>
      <c r="E208">
        <v>8</v>
      </c>
      <c r="F208">
        <v>1</v>
      </c>
      <c r="G208">
        <v>2</v>
      </c>
      <c r="H208">
        <v>0</v>
      </c>
      <c r="I208">
        <v>0</v>
      </c>
      <c r="J208">
        <v>2</v>
      </c>
      <c r="K208">
        <v>0</v>
      </c>
      <c r="L208">
        <v>0</v>
      </c>
      <c r="M208">
        <v>0</v>
      </c>
      <c r="N208">
        <v>9</v>
      </c>
    </row>
    <row r="209" spans="1:14" x14ac:dyDescent="0.2">
      <c r="A209">
        <v>208</v>
      </c>
      <c r="B209">
        <v>101</v>
      </c>
      <c r="C209">
        <v>1</v>
      </c>
      <c r="D209" t="str">
        <f>HLOOKUP(Dados!C209,'Variáveis e códigos'!$C$4:$F$5,2,FALSE)</f>
        <v>Masculino</v>
      </c>
      <c r="E209">
        <v>9</v>
      </c>
      <c r="F209">
        <v>1</v>
      </c>
      <c r="G209">
        <v>99</v>
      </c>
      <c r="H209">
        <v>1</v>
      </c>
      <c r="I209">
        <v>0</v>
      </c>
      <c r="J209">
        <v>2</v>
      </c>
      <c r="K209">
        <v>0</v>
      </c>
      <c r="L209">
        <v>0</v>
      </c>
      <c r="M209">
        <v>0</v>
      </c>
      <c r="N209">
        <v>10</v>
      </c>
    </row>
    <row r="210" spans="1:14" x14ac:dyDescent="0.2">
      <c r="A210">
        <v>209</v>
      </c>
      <c r="B210">
        <v>101</v>
      </c>
      <c r="C210">
        <v>2</v>
      </c>
      <c r="D210" t="str">
        <f>HLOOKUP(Dados!C210,'Variáveis e códigos'!$C$4:$F$5,2,FALSE)</f>
        <v>Feminino</v>
      </c>
      <c r="E210">
        <v>8</v>
      </c>
      <c r="F210">
        <v>1</v>
      </c>
      <c r="G210">
        <v>1</v>
      </c>
      <c r="H210">
        <v>0</v>
      </c>
      <c r="I210">
        <v>0</v>
      </c>
      <c r="J210">
        <v>2</v>
      </c>
      <c r="K210">
        <v>0</v>
      </c>
      <c r="L210">
        <v>0</v>
      </c>
      <c r="M210">
        <v>0</v>
      </c>
      <c r="N210">
        <v>9</v>
      </c>
    </row>
    <row r="211" spans="1:14" x14ac:dyDescent="0.2">
      <c r="A211">
        <v>210</v>
      </c>
      <c r="B211">
        <v>101</v>
      </c>
      <c r="C211">
        <v>2</v>
      </c>
      <c r="D211" t="str">
        <f>HLOOKUP(Dados!C211,'Variáveis e códigos'!$C$4:$F$5,2,FALSE)</f>
        <v>Feminino</v>
      </c>
      <c r="E211">
        <v>7</v>
      </c>
      <c r="F211">
        <v>1</v>
      </c>
      <c r="G211">
        <v>2</v>
      </c>
      <c r="H211">
        <v>2</v>
      </c>
      <c r="I211">
        <v>1</v>
      </c>
      <c r="J211">
        <v>1</v>
      </c>
      <c r="K211">
        <v>0</v>
      </c>
      <c r="L211">
        <v>0</v>
      </c>
      <c r="M211">
        <v>1</v>
      </c>
      <c r="N211">
        <v>8</v>
      </c>
    </row>
    <row r="212" spans="1:14" x14ac:dyDescent="0.2">
      <c r="A212">
        <v>211</v>
      </c>
      <c r="B212">
        <v>101</v>
      </c>
      <c r="C212">
        <v>1</v>
      </c>
      <c r="D212" t="str">
        <f>HLOOKUP(Dados!C212,'Variáveis e códigos'!$C$4:$F$5,2,FALSE)</f>
        <v>Masculino</v>
      </c>
      <c r="E212">
        <v>8</v>
      </c>
      <c r="F212">
        <v>1</v>
      </c>
      <c r="G212">
        <v>2</v>
      </c>
      <c r="H212">
        <v>1</v>
      </c>
      <c r="I212">
        <v>1</v>
      </c>
      <c r="J212">
        <v>1</v>
      </c>
      <c r="K212">
        <v>0</v>
      </c>
      <c r="L212">
        <v>2</v>
      </c>
      <c r="M212">
        <v>1</v>
      </c>
      <c r="N212">
        <v>8</v>
      </c>
    </row>
    <row r="213" spans="1:14" x14ac:dyDescent="0.2">
      <c r="A213">
        <v>212</v>
      </c>
      <c r="B213">
        <v>101</v>
      </c>
      <c r="C213">
        <v>2</v>
      </c>
      <c r="D213" t="str">
        <f>HLOOKUP(Dados!C213,'Variáveis e códigos'!$C$4:$F$5,2,FALSE)</f>
        <v>Feminino</v>
      </c>
      <c r="E213">
        <v>6</v>
      </c>
      <c r="F213">
        <v>1</v>
      </c>
      <c r="G213">
        <v>1</v>
      </c>
      <c r="H213">
        <v>1</v>
      </c>
      <c r="I213">
        <v>1</v>
      </c>
      <c r="J213">
        <v>2</v>
      </c>
      <c r="K213">
        <v>0</v>
      </c>
      <c r="L213">
        <v>0</v>
      </c>
      <c r="M213">
        <v>1</v>
      </c>
      <c r="N213">
        <v>8</v>
      </c>
    </row>
    <row r="214" spans="1:14" x14ac:dyDescent="0.2">
      <c r="A214">
        <v>213</v>
      </c>
      <c r="B214">
        <v>101</v>
      </c>
      <c r="C214">
        <v>1</v>
      </c>
      <c r="D214" t="str">
        <f>HLOOKUP(Dados!C214,'Variáveis e códigos'!$C$4:$F$5,2,FALSE)</f>
        <v>Masculino</v>
      </c>
      <c r="E214">
        <v>6</v>
      </c>
      <c r="F214">
        <v>1</v>
      </c>
      <c r="G214">
        <v>2</v>
      </c>
      <c r="H214">
        <v>1</v>
      </c>
      <c r="I214">
        <v>0</v>
      </c>
      <c r="J214">
        <v>2</v>
      </c>
      <c r="K214">
        <v>1</v>
      </c>
      <c r="L214">
        <v>0</v>
      </c>
      <c r="M214">
        <v>0</v>
      </c>
      <c r="N214">
        <v>10</v>
      </c>
    </row>
    <row r="215" spans="1:14" x14ac:dyDescent="0.2">
      <c r="A215">
        <v>214</v>
      </c>
      <c r="B215">
        <v>101</v>
      </c>
      <c r="C215">
        <v>1</v>
      </c>
      <c r="D215" t="str">
        <f>HLOOKUP(Dados!C215,'Variáveis e códigos'!$C$4:$F$5,2,FALSE)</f>
        <v>Masculino</v>
      </c>
      <c r="E215">
        <v>6</v>
      </c>
      <c r="F215">
        <v>1</v>
      </c>
      <c r="G215">
        <v>3</v>
      </c>
      <c r="H215">
        <v>0</v>
      </c>
      <c r="I215">
        <v>0</v>
      </c>
      <c r="J215">
        <v>2</v>
      </c>
      <c r="K215">
        <v>0</v>
      </c>
      <c r="L215">
        <v>0</v>
      </c>
      <c r="M215">
        <v>0</v>
      </c>
      <c r="N215">
        <v>8</v>
      </c>
    </row>
    <row r="216" spans="1:14" x14ac:dyDescent="0.2">
      <c r="A216">
        <v>215</v>
      </c>
      <c r="B216">
        <v>101</v>
      </c>
      <c r="C216">
        <v>1</v>
      </c>
      <c r="D216" t="str">
        <f>HLOOKUP(Dados!C216,'Variáveis e códigos'!$C$4:$F$5,2,FALSE)</f>
        <v>Masculino</v>
      </c>
      <c r="E216">
        <v>9</v>
      </c>
      <c r="F216">
        <v>1</v>
      </c>
      <c r="G216">
        <v>1</v>
      </c>
      <c r="H216">
        <v>0</v>
      </c>
      <c r="I216">
        <v>0</v>
      </c>
      <c r="J216">
        <v>1</v>
      </c>
      <c r="K216">
        <v>0</v>
      </c>
      <c r="L216">
        <v>0</v>
      </c>
      <c r="M216">
        <v>0</v>
      </c>
      <c r="N216">
        <v>10</v>
      </c>
    </row>
    <row r="217" spans="1:14" x14ac:dyDescent="0.2">
      <c r="A217">
        <v>216</v>
      </c>
      <c r="B217">
        <v>101</v>
      </c>
      <c r="C217">
        <v>2</v>
      </c>
      <c r="D217" t="str">
        <f>HLOOKUP(Dados!C217,'Variáveis e códigos'!$C$4:$F$5,2,FALSE)</f>
        <v>Feminino</v>
      </c>
      <c r="E217">
        <v>4</v>
      </c>
      <c r="F217">
        <v>0</v>
      </c>
      <c r="G217">
        <v>2</v>
      </c>
      <c r="H217">
        <v>1</v>
      </c>
      <c r="I217">
        <v>0</v>
      </c>
      <c r="J217">
        <v>2</v>
      </c>
      <c r="K217">
        <v>0</v>
      </c>
      <c r="L217">
        <v>0</v>
      </c>
      <c r="M217">
        <v>0</v>
      </c>
      <c r="N217">
        <v>9</v>
      </c>
    </row>
    <row r="218" spans="1:14" x14ac:dyDescent="0.2">
      <c r="A218">
        <v>217</v>
      </c>
      <c r="B218">
        <v>101</v>
      </c>
      <c r="C218">
        <v>2</v>
      </c>
      <c r="D218" t="str">
        <f>HLOOKUP(Dados!C218,'Variáveis e códigos'!$C$4:$F$5,2,FALSE)</f>
        <v>Feminino</v>
      </c>
      <c r="E218">
        <v>7</v>
      </c>
      <c r="F218">
        <v>1</v>
      </c>
      <c r="G218">
        <v>1</v>
      </c>
      <c r="H218">
        <v>0</v>
      </c>
      <c r="I218">
        <v>0</v>
      </c>
      <c r="J218">
        <v>1</v>
      </c>
      <c r="K218">
        <v>0</v>
      </c>
      <c r="L218">
        <v>0</v>
      </c>
      <c r="M218">
        <v>1</v>
      </c>
      <c r="N218">
        <v>7</v>
      </c>
    </row>
    <row r="219" spans="1:14" x14ac:dyDescent="0.2">
      <c r="A219">
        <v>218</v>
      </c>
      <c r="B219">
        <v>101</v>
      </c>
      <c r="C219">
        <v>1</v>
      </c>
      <c r="D219" t="str">
        <f>HLOOKUP(Dados!C219,'Variáveis e códigos'!$C$4:$F$5,2,FALSE)</f>
        <v>Masculino</v>
      </c>
      <c r="E219">
        <v>9</v>
      </c>
      <c r="F219">
        <v>1</v>
      </c>
      <c r="G219">
        <v>2</v>
      </c>
      <c r="H219">
        <v>1</v>
      </c>
      <c r="I219">
        <v>1</v>
      </c>
      <c r="J219">
        <v>2</v>
      </c>
      <c r="K219">
        <v>0</v>
      </c>
      <c r="L219">
        <v>0</v>
      </c>
      <c r="M219">
        <v>2</v>
      </c>
      <c r="N219">
        <v>8</v>
      </c>
    </row>
    <row r="220" spans="1:14" x14ac:dyDescent="0.2">
      <c r="A220">
        <v>219</v>
      </c>
      <c r="B220">
        <v>101</v>
      </c>
      <c r="C220">
        <v>1</v>
      </c>
      <c r="D220" t="str">
        <f>HLOOKUP(Dados!C220,'Variáveis e códigos'!$C$4:$F$5,2,FALSE)</f>
        <v>Masculino</v>
      </c>
      <c r="E220">
        <v>9</v>
      </c>
      <c r="F220">
        <v>1</v>
      </c>
      <c r="G220">
        <v>1</v>
      </c>
      <c r="H220">
        <v>2</v>
      </c>
      <c r="I220">
        <v>1</v>
      </c>
      <c r="J220">
        <v>1</v>
      </c>
      <c r="K220">
        <v>1</v>
      </c>
      <c r="L220">
        <v>0</v>
      </c>
      <c r="M220">
        <v>0</v>
      </c>
      <c r="N220">
        <v>9</v>
      </c>
    </row>
    <row r="221" spans="1:14" x14ac:dyDescent="0.2">
      <c r="A221">
        <v>220</v>
      </c>
      <c r="B221">
        <v>101</v>
      </c>
      <c r="C221">
        <v>1</v>
      </c>
      <c r="D221" t="str">
        <f>HLOOKUP(Dados!C221,'Variáveis e códigos'!$C$4:$F$5,2,FALSE)</f>
        <v>Masculino</v>
      </c>
      <c r="E221">
        <v>6</v>
      </c>
      <c r="F221">
        <v>1</v>
      </c>
      <c r="G221">
        <v>2</v>
      </c>
      <c r="H221">
        <v>0</v>
      </c>
      <c r="I221">
        <v>0</v>
      </c>
      <c r="J221">
        <v>2</v>
      </c>
      <c r="K221">
        <v>0</v>
      </c>
      <c r="L221">
        <v>0</v>
      </c>
      <c r="M221">
        <v>0</v>
      </c>
      <c r="N221">
        <v>10</v>
      </c>
    </row>
    <row r="222" spans="1:14" x14ac:dyDescent="0.2">
      <c r="A222">
        <v>221</v>
      </c>
      <c r="B222">
        <v>101</v>
      </c>
      <c r="C222">
        <v>1</v>
      </c>
      <c r="D222" t="str">
        <f>HLOOKUP(Dados!C222,'Variáveis e códigos'!$C$4:$F$5,2,FALSE)</f>
        <v>Masculino</v>
      </c>
      <c r="E222">
        <v>7</v>
      </c>
      <c r="F222">
        <v>1</v>
      </c>
      <c r="G222">
        <v>3</v>
      </c>
      <c r="H222">
        <v>0</v>
      </c>
      <c r="I222">
        <v>0</v>
      </c>
      <c r="J222">
        <v>2</v>
      </c>
      <c r="K222">
        <v>0</v>
      </c>
      <c r="L222">
        <v>0</v>
      </c>
      <c r="M222">
        <v>0</v>
      </c>
      <c r="N222">
        <v>9</v>
      </c>
    </row>
    <row r="223" spans="1:14" x14ac:dyDescent="0.2">
      <c r="A223">
        <v>222</v>
      </c>
      <c r="B223">
        <v>101</v>
      </c>
      <c r="C223">
        <v>2</v>
      </c>
      <c r="D223" t="str">
        <f>HLOOKUP(Dados!C223,'Variáveis e códigos'!$C$4:$F$5,2,FALSE)</f>
        <v>Feminino</v>
      </c>
      <c r="E223">
        <v>6</v>
      </c>
      <c r="F223">
        <v>1</v>
      </c>
      <c r="G223">
        <v>2</v>
      </c>
      <c r="H223">
        <v>0</v>
      </c>
      <c r="I223">
        <v>0</v>
      </c>
      <c r="J223">
        <v>2</v>
      </c>
      <c r="K223">
        <v>0</v>
      </c>
      <c r="L223">
        <v>0</v>
      </c>
      <c r="M223">
        <v>0</v>
      </c>
      <c r="N223">
        <v>99</v>
      </c>
    </row>
    <row r="224" spans="1:14" x14ac:dyDescent="0.2">
      <c r="A224">
        <v>223</v>
      </c>
      <c r="B224">
        <v>101</v>
      </c>
      <c r="C224">
        <v>1</v>
      </c>
      <c r="D224" t="str">
        <f>HLOOKUP(Dados!C224,'Variáveis e códigos'!$C$4:$F$5,2,FALSE)</f>
        <v>Masculino</v>
      </c>
      <c r="E224">
        <v>10</v>
      </c>
      <c r="F224">
        <v>1</v>
      </c>
      <c r="G224">
        <v>99</v>
      </c>
      <c r="H224">
        <v>1</v>
      </c>
      <c r="I224">
        <v>0</v>
      </c>
      <c r="J224">
        <v>2</v>
      </c>
      <c r="K224">
        <v>0</v>
      </c>
      <c r="L224">
        <v>0</v>
      </c>
      <c r="M224">
        <v>2</v>
      </c>
      <c r="N224">
        <v>8</v>
      </c>
    </row>
    <row r="225" spans="1:14" x14ac:dyDescent="0.2">
      <c r="A225">
        <v>224</v>
      </c>
      <c r="B225">
        <v>101</v>
      </c>
      <c r="C225">
        <v>2</v>
      </c>
      <c r="D225" t="str">
        <f>HLOOKUP(Dados!C225,'Variáveis e códigos'!$C$4:$F$5,2,FALSE)</f>
        <v>Feminino</v>
      </c>
      <c r="E225">
        <v>8</v>
      </c>
      <c r="F225">
        <v>1</v>
      </c>
      <c r="G225">
        <v>1</v>
      </c>
      <c r="H225">
        <v>0</v>
      </c>
      <c r="I225">
        <v>0</v>
      </c>
      <c r="J225">
        <v>1</v>
      </c>
      <c r="K225">
        <v>0</v>
      </c>
      <c r="L225">
        <v>1</v>
      </c>
      <c r="M225">
        <v>0</v>
      </c>
      <c r="N225">
        <v>7</v>
      </c>
    </row>
    <row r="226" spans="1:14" x14ac:dyDescent="0.2">
      <c r="A226">
        <v>225</v>
      </c>
      <c r="B226">
        <v>101</v>
      </c>
      <c r="C226">
        <v>1</v>
      </c>
      <c r="D226" t="str">
        <f>HLOOKUP(Dados!C226,'Variáveis e códigos'!$C$4:$F$5,2,FALSE)</f>
        <v>Masculino</v>
      </c>
      <c r="E226">
        <v>7</v>
      </c>
      <c r="F226">
        <v>1</v>
      </c>
      <c r="G226">
        <v>2</v>
      </c>
      <c r="H226">
        <v>1</v>
      </c>
      <c r="I226">
        <v>0</v>
      </c>
      <c r="J226">
        <v>2</v>
      </c>
      <c r="K226">
        <v>0</v>
      </c>
      <c r="L226">
        <v>1</v>
      </c>
      <c r="M226">
        <v>1</v>
      </c>
      <c r="N226">
        <v>10</v>
      </c>
    </row>
    <row r="227" spans="1:14" x14ac:dyDescent="0.2">
      <c r="A227">
        <v>226</v>
      </c>
      <c r="B227">
        <v>101</v>
      </c>
      <c r="C227">
        <v>1</v>
      </c>
      <c r="D227" t="str">
        <f>HLOOKUP(Dados!C227,'Variáveis e códigos'!$C$4:$F$5,2,FALSE)</f>
        <v>Masculino</v>
      </c>
      <c r="E227">
        <v>9</v>
      </c>
      <c r="F227">
        <v>1</v>
      </c>
      <c r="G227">
        <v>2</v>
      </c>
      <c r="H227">
        <v>2</v>
      </c>
      <c r="I227">
        <v>1</v>
      </c>
      <c r="J227">
        <v>1</v>
      </c>
      <c r="K227">
        <v>1</v>
      </c>
      <c r="L227">
        <v>1</v>
      </c>
      <c r="M227">
        <v>1</v>
      </c>
      <c r="N227">
        <v>9</v>
      </c>
    </row>
    <row r="228" spans="1:14" x14ac:dyDescent="0.2">
      <c r="A228">
        <v>227</v>
      </c>
      <c r="B228">
        <v>101</v>
      </c>
      <c r="C228">
        <v>2</v>
      </c>
      <c r="D228" t="str">
        <f>HLOOKUP(Dados!C228,'Variáveis e códigos'!$C$4:$F$5,2,FALSE)</f>
        <v>Feminino</v>
      </c>
      <c r="E228">
        <v>9</v>
      </c>
      <c r="F228">
        <v>1</v>
      </c>
      <c r="G228">
        <v>2</v>
      </c>
      <c r="H228">
        <v>0</v>
      </c>
      <c r="I228">
        <v>0</v>
      </c>
      <c r="J228">
        <v>2</v>
      </c>
      <c r="K228">
        <v>0</v>
      </c>
      <c r="L228">
        <v>1</v>
      </c>
      <c r="M228">
        <v>1</v>
      </c>
      <c r="N228">
        <v>9</v>
      </c>
    </row>
    <row r="229" spans="1:14" x14ac:dyDescent="0.2">
      <c r="A229">
        <v>228</v>
      </c>
      <c r="B229">
        <v>101</v>
      </c>
      <c r="C229">
        <v>2</v>
      </c>
      <c r="D229" t="str">
        <f>HLOOKUP(Dados!C229,'Variáveis e códigos'!$C$4:$F$5,2,FALSE)</f>
        <v>Feminino</v>
      </c>
      <c r="E229">
        <v>9</v>
      </c>
      <c r="F229">
        <v>1</v>
      </c>
      <c r="G229">
        <v>1</v>
      </c>
      <c r="H229">
        <v>1</v>
      </c>
      <c r="I229">
        <v>1</v>
      </c>
      <c r="J229">
        <v>2</v>
      </c>
      <c r="K229">
        <v>1</v>
      </c>
      <c r="L229">
        <v>1</v>
      </c>
      <c r="M229">
        <v>1</v>
      </c>
      <c r="N229">
        <v>9</v>
      </c>
    </row>
    <row r="230" spans="1:14" x14ac:dyDescent="0.2">
      <c r="A230">
        <v>229</v>
      </c>
      <c r="B230">
        <v>101</v>
      </c>
      <c r="C230">
        <v>1</v>
      </c>
      <c r="D230" t="str">
        <f>HLOOKUP(Dados!C230,'Variáveis e códigos'!$C$4:$F$5,2,FALSE)</f>
        <v>Masculino</v>
      </c>
      <c r="E230">
        <v>6</v>
      </c>
      <c r="F230">
        <v>1</v>
      </c>
      <c r="G230">
        <v>2</v>
      </c>
      <c r="H230">
        <v>1</v>
      </c>
      <c r="I230">
        <v>0</v>
      </c>
      <c r="J230">
        <v>1</v>
      </c>
      <c r="K230">
        <v>0</v>
      </c>
      <c r="L230">
        <v>1</v>
      </c>
      <c r="M230">
        <v>1</v>
      </c>
      <c r="N230">
        <v>8</v>
      </c>
    </row>
    <row r="231" spans="1:14" x14ac:dyDescent="0.2">
      <c r="A231">
        <v>230</v>
      </c>
      <c r="B231">
        <v>101</v>
      </c>
      <c r="C231">
        <v>2</v>
      </c>
      <c r="D231" t="str">
        <f>HLOOKUP(Dados!C231,'Variáveis e códigos'!$C$4:$F$5,2,FALSE)</f>
        <v>Feminino</v>
      </c>
      <c r="E231">
        <v>8</v>
      </c>
      <c r="F231">
        <v>1</v>
      </c>
      <c r="G231">
        <v>3</v>
      </c>
      <c r="H231">
        <v>2</v>
      </c>
      <c r="I231">
        <v>0</v>
      </c>
      <c r="J231">
        <v>2</v>
      </c>
      <c r="K231">
        <v>0</v>
      </c>
      <c r="L231">
        <v>0</v>
      </c>
      <c r="M231">
        <v>0</v>
      </c>
      <c r="N231">
        <v>10</v>
      </c>
    </row>
    <row r="232" spans="1:14" x14ac:dyDescent="0.2">
      <c r="A232">
        <v>231</v>
      </c>
      <c r="B232">
        <v>101</v>
      </c>
      <c r="C232">
        <v>1</v>
      </c>
      <c r="D232" t="str">
        <f>HLOOKUP(Dados!C232,'Variáveis e códigos'!$C$4:$F$5,2,FALSE)</f>
        <v>Masculino</v>
      </c>
      <c r="E232">
        <v>9</v>
      </c>
      <c r="F232">
        <v>1</v>
      </c>
      <c r="G232">
        <v>3</v>
      </c>
      <c r="H232">
        <v>2</v>
      </c>
      <c r="I232">
        <v>1</v>
      </c>
      <c r="J232">
        <v>1</v>
      </c>
      <c r="K232">
        <v>0</v>
      </c>
      <c r="L232">
        <v>1</v>
      </c>
      <c r="M232">
        <v>0</v>
      </c>
      <c r="N232">
        <v>9</v>
      </c>
    </row>
    <row r="233" spans="1:14" x14ac:dyDescent="0.2">
      <c r="A233">
        <v>232</v>
      </c>
      <c r="B233">
        <v>101</v>
      </c>
      <c r="C233">
        <v>1</v>
      </c>
      <c r="D233" t="str">
        <f>HLOOKUP(Dados!C233,'Variáveis e códigos'!$C$4:$F$5,2,FALSE)</f>
        <v>Masculino</v>
      </c>
      <c r="E233">
        <v>7</v>
      </c>
      <c r="F233">
        <v>1</v>
      </c>
      <c r="G233">
        <v>1</v>
      </c>
      <c r="H233">
        <v>0</v>
      </c>
      <c r="I233">
        <v>0</v>
      </c>
      <c r="J233">
        <v>2</v>
      </c>
      <c r="K233">
        <v>0</v>
      </c>
      <c r="L233">
        <v>0</v>
      </c>
      <c r="M233">
        <v>1</v>
      </c>
      <c r="N233">
        <v>8</v>
      </c>
    </row>
    <row r="234" spans="1:14" x14ac:dyDescent="0.2">
      <c r="A234">
        <v>233</v>
      </c>
      <c r="B234">
        <v>101</v>
      </c>
      <c r="C234">
        <v>1</v>
      </c>
      <c r="D234" t="str">
        <f>HLOOKUP(Dados!C234,'Variáveis e códigos'!$C$4:$F$5,2,FALSE)</f>
        <v>Masculino</v>
      </c>
      <c r="E234">
        <v>9</v>
      </c>
      <c r="F234">
        <v>1</v>
      </c>
      <c r="G234">
        <v>99</v>
      </c>
      <c r="H234">
        <v>0</v>
      </c>
      <c r="I234">
        <v>0</v>
      </c>
      <c r="J234">
        <v>2</v>
      </c>
      <c r="K234">
        <v>0</v>
      </c>
      <c r="L234">
        <v>0</v>
      </c>
      <c r="M234">
        <v>1</v>
      </c>
      <c r="N234">
        <v>10</v>
      </c>
    </row>
    <row r="235" spans="1:14" x14ac:dyDescent="0.2">
      <c r="A235">
        <v>234</v>
      </c>
      <c r="B235">
        <v>101</v>
      </c>
      <c r="C235">
        <v>2</v>
      </c>
      <c r="D235" t="str">
        <f>HLOOKUP(Dados!C235,'Variáveis e códigos'!$C$4:$F$5,2,FALSE)</f>
        <v>Feminino</v>
      </c>
      <c r="E235">
        <v>7</v>
      </c>
      <c r="F235">
        <v>1</v>
      </c>
      <c r="G235">
        <v>1</v>
      </c>
      <c r="H235">
        <v>0</v>
      </c>
      <c r="I235">
        <v>0</v>
      </c>
      <c r="J235">
        <v>2</v>
      </c>
      <c r="K235">
        <v>0</v>
      </c>
      <c r="L235">
        <v>0</v>
      </c>
      <c r="M235">
        <v>0</v>
      </c>
      <c r="N235">
        <v>8</v>
      </c>
    </row>
    <row r="236" spans="1:14" x14ac:dyDescent="0.2">
      <c r="A236">
        <v>235</v>
      </c>
      <c r="B236">
        <v>101</v>
      </c>
      <c r="C236">
        <v>1</v>
      </c>
      <c r="D236" t="str">
        <f>HLOOKUP(Dados!C236,'Variáveis e códigos'!$C$4:$F$5,2,FALSE)</f>
        <v>Masculino</v>
      </c>
      <c r="E236">
        <v>9</v>
      </c>
      <c r="F236">
        <v>1</v>
      </c>
      <c r="G236">
        <v>3</v>
      </c>
      <c r="H236">
        <v>0</v>
      </c>
      <c r="I236">
        <v>0</v>
      </c>
      <c r="J236">
        <v>2</v>
      </c>
      <c r="K236">
        <v>0</v>
      </c>
      <c r="L236">
        <v>0</v>
      </c>
      <c r="M236">
        <v>1</v>
      </c>
      <c r="N236">
        <v>8</v>
      </c>
    </row>
    <row r="237" spans="1:14" x14ac:dyDescent="0.2">
      <c r="A237">
        <v>236</v>
      </c>
      <c r="B237">
        <v>101</v>
      </c>
      <c r="C237">
        <v>1</v>
      </c>
      <c r="D237" t="str">
        <f>HLOOKUP(Dados!C237,'Variáveis e códigos'!$C$4:$F$5,2,FALSE)</f>
        <v>Masculino</v>
      </c>
      <c r="E237">
        <v>5</v>
      </c>
      <c r="F237">
        <v>1</v>
      </c>
      <c r="G237">
        <v>1</v>
      </c>
      <c r="H237">
        <v>2</v>
      </c>
      <c r="I237">
        <v>1</v>
      </c>
      <c r="J237">
        <v>1</v>
      </c>
      <c r="K237">
        <v>0</v>
      </c>
      <c r="L237">
        <v>0</v>
      </c>
      <c r="M237">
        <v>2</v>
      </c>
      <c r="N237">
        <v>9</v>
      </c>
    </row>
    <row r="238" spans="1:14" x14ac:dyDescent="0.2">
      <c r="A238">
        <v>237</v>
      </c>
      <c r="B238">
        <v>101</v>
      </c>
      <c r="C238">
        <v>1</v>
      </c>
      <c r="D238" t="str">
        <f>HLOOKUP(Dados!C238,'Variáveis e códigos'!$C$4:$F$5,2,FALSE)</f>
        <v>Masculino</v>
      </c>
      <c r="E238">
        <v>8</v>
      </c>
      <c r="F238">
        <v>1</v>
      </c>
      <c r="G238">
        <v>3</v>
      </c>
      <c r="H238">
        <v>2</v>
      </c>
      <c r="I238">
        <v>0</v>
      </c>
      <c r="J238">
        <v>2</v>
      </c>
      <c r="K238">
        <v>0</v>
      </c>
      <c r="L238">
        <v>0</v>
      </c>
      <c r="M238">
        <v>0</v>
      </c>
      <c r="N238">
        <v>7</v>
      </c>
    </row>
    <row r="239" spans="1:14" x14ac:dyDescent="0.2">
      <c r="A239">
        <v>238</v>
      </c>
      <c r="B239">
        <v>101</v>
      </c>
      <c r="C239">
        <v>1</v>
      </c>
      <c r="D239" t="str">
        <f>HLOOKUP(Dados!C239,'Variáveis e códigos'!$C$4:$F$5,2,FALSE)</f>
        <v>Masculino</v>
      </c>
      <c r="E239">
        <v>8</v>
      </c>
      <c r="F239">
        <v>1</v>
      </c>
      <c r="G239">
        <v>2</v>
      </c>
      <c r="H239">
        <v>2</v>
      </c>
      <c r="I239">
        <v>1</v>
      </c>
      <c r="J239">
        <v>2</v>
      </c>
      <c r="K239">
        <v>0</v>
      </c>
      <c r="L239">
        <v>0</v>
      </c>
      <c r="M239">
        <v>0</v>
      </c>
      <c r="N239">
        <v>8</v>
      </c>
    </row>
    <row r="240" spans="1:14" x14ac:dyDescent="0.2">
      <c r="A240">
        <v>239</v>
      </c>
      <c r="B240">
        <v>101</v>
      </c>
      <c r="C240">
        <v>1</v>
      </c>
      <c r="D240" t="str">
        <f>HLOOKUP(Dados!C240,'Variáveis e códigos'!$C$4:$F$5,2,FALSE)</f>
        <v>Masculino</v>
      </c>
      <c r="E240">
        <v>7</v>
      </c>
      <c r="F240">
        <v>1</v>
      </c>
      <c r="G240">
        <v>2</v>
      </c>
      <c r="H240">
        <v>2</v>
      </c>
      <c r="I240">
        <v>1</v>
      </c>
      <c r="J240">
        <v>2</v>
      </c>
      <c r="K240">
        <v>0</v>
      </c>
      <c r="L240">
        <v>1</v>
      </c>
      <c r="M240">
        <v>1</v>
      </c>
      <c r="N240">
        <v>9</v>
      </c>
    </row>
    <row r="241" spans="1:14" x14ac:dyDescent="0.2">
      <c r="A241">
        <v>240</v>
      </c>
      <c r="B241">
        <v>101</v>
      </c>
      <c r="C241">
        <v>1</v>
      </c>
      <c r="D241" t="str">
        <f>HLOOKUP(Dados!C241,'Variáveis e códigos'!$C$4:$F$5,2,FALSE)</f>
        <v>Masculino</v>
      </c>
      <c r="E241">
        <v>6</v>
      </c>
      <c r="F241">
        <v>1</v>
      </c>
      <c r="G241">
        <v>2</v>
      </c>
      <c r="H241">
        <v>0</v>
      </c>
      <c r="I241">
        <v>0</v>
      </c>
      <c r="J241">
        <v>2</v>
      </c>
      <c r="K241">
        <v>0</v>
      </c>
      <c r="L241">
        <v>0</v>
      </c>
      <c r="M241">
        <v>0</v>
      </c>
      <c r="N241">
        <v>10</v>
      </c>
    </row>
    <row r="242" spans="1:14" x14ac:dyDescent="0.2">
      <c r="A242">
        <v>241</v>
      </c>
      <c r="B242">
        <v>101</v>
      </c>
      <c r="C242">
        <v>1</v>
      </c>
      <c r="D242" t="str">
        <f>HLOOKUP(Dados!C242,'Variáveis e códigos'!$C$4:$F$5,2,FALSE)</f>
        <v>Masculino</v>
      </c>
      <c r="E242">
        <v>9</v>
      </c>
      <c r="F242">
        <v>1</v>
      </c>
      <c r="G242">
        <v>1</v>
      </c>
      <c r="H242">
        <v>0</v>
      </c>
      <c r="I242">
        <v>0</v>
      </c>
      <c r="J242">
        <v>2</v>
      </c>
      <c r="K242">
        <v>0</v>
      </c>
      <c r="L242">
        <v>0</v>
      </c>
      <c r="M242">
        <v>2</v>
      </c>
      <c r="N242">
        <v>9</v>
      </c>
    </row>
    <row r="243" spans="1:14" x14ac:dyDescent="0.2">
      <c r="A243">
        <v>242</v>
      </c>
      <c r="B243">
        <v>101</v>
      </c>
      <c r="C243">
        <v>1</v>
      </c>
      <c r="D243" t="str">
        <f>HLOOKUP(Dados!C243,'Variáveis e códigos'!$C$4:$F$5,2,FALSE)</f>
        <v>Masculino</v>
      </c>
      <c r="E243">
        <v>7</v>
      </c>
      <c r="F243">
        <v>1</v>
      </c>
      <c r="G243">
        <v>2</v>
      </c>
      <c r="H243">
        <v>1</v>
      </c>
      <c r="I243">
        <v>0</v>
      </c>
      <c r="J243">
        <v>2</v>
      </c>
      <c r="K243">
        <v>0</v>
      </c>
      <c r="L243">
        <v>0</v>
      </c>
      <c r="M243">
        <v>0</v>
      </c>
      <c r="N243">
        <v>9</v>
      </c>
    </row>
    <row r="244" spans="1:14" x14ac:dyDescent="0.2">
      <c r="A244">
        <v>243</v>
      </c>
      <c r="B244">
        <v>101</v>
      </c>
      <c r="C244">
        <v>2</v>
      </c>
      <c r="D244" t="str">
        <f>HLOOKUP(Dados!C244,'Variáveis e códigos'!$C$4:$F$5,2,FALSE)</f>
        <v>Feminino</v>
      </c>
      <c r="E244">
        <v>3</v>
      </c>
      <c r="F244">
        <v>0</v>
      </c>
      <c r="G244">
        <v>2</v>
      </c>
      <c r="H244">
        <v>0</v>
      </c>
      <c r="I244">
        <v>1</v>
      </c>
      <c r="J244">
        <v>2</v>
      </c>
      <c r="K244">
        <v>0</v>
      </c>
      <c r="L244">
        <v>1</v>
      </c>
      <c r="M244">
        <v>0</v>
      </c>
      <c r="N244">
        <v>8</v>
      </c>
    </row>
    <row r="245" spans="1:14" x14ac:dyDescent="0.2">
      <c r="A245">
        <v>244</v>
      </c>
      <c r="B245">
        <v>101</v>
      </c>
      <c r="C245">
        <v>2</v>
      </c>
      <c r="D245" t="str">
        <f>HLOOKUP(Dados!C245,'Variáveis e códigos'!$C$4:$F$5,2,FALSE)</f>
        <v>Feminino</v>
      </c>
      <c r="E245">
        <v>7</v>
      </c>
      <c r="F245">
        <v>1</v>
      </c>
      <c r="G245">
        <v>2</v>
      </c>
      <c r="H245">
        <v>1</v>
      </c>
      <c r="I245">
        <v>0</v>
      </c>
      <c r="J245">
        <v>2</v>
      </c>
      <c r="K245">
        <v>0</v>
      </c>
      <c r="L245">
        <v>1</v>
      </c>
      <c r="M245">
        <v>1</v>
      </c>
      <c r="N245">
        <v>7</v>
      </c>
    </row>
    <row r="246" spans="1:14" x14ac:dyDescent="0.2">
      <c r="A246">
        <v>245</v>
      </c>
      <c r="B246">
        <v>101</v>
      </c>
      <c r="C246">
        <v>1</v>
      </c>
      <c r="D246" t="str">
        <f>HLOOKUP(Dados!C246,'Variáveis e códigos'!$C$4:$F$5,2,FALSE)</f>
        <v>Masculino</v>
      </c>
      <c r="E246">
        <v>8</v>
      </c>
      <c r="F246">
        <v>1</v>
      </c>
      <c r="G246">
        <v>2</v>
      </c>
      <c r="H246">
        <v>2</v>
      </c>
      <c r="I246">
        <v>2</v>
      </c>
      <c r="J246">
        <v>1</v>
      </c>
      <c r="K246">
        <v>1</v>
      </c>
      <c r="L246">
        <v>2</v>
      </c>
      <c r="M246">
        <v>2</v>
      </c>
      <c r="N246">
        <v>9</v>
      </c>
    </row>
    <row r="247" spans="1:14" x14ac:dyDescent="0.2">
      <c r="A247">
        <v>246</v>
      </c>
      <c r="B247">
        <v>101</v>
      </c>
      <c r="C247">
        <v>2</v>
      </c>
      <c r="D247" t="str">
        <f>HLOOKUP(Dados!C247,'Variáveis e códigos'!$C$4:$F$5,2,FALSE)</f>
        <v>Feminino</v>
      </c>
      <c r="E247">
        <v>7</v>
      </c>
      <c r="F247">
        <v>1</v>
      </c>
      <c r="G247">
        <v>3</v>
      </c>
      <c r="H247">
        <v>0</v>
      </c>
      <c r="I247">
        <v>0</v>
      </c>
      <c r="J247">
        <v>2</v>
      </c>
      <c r="K247">
        <v>0</v>
      </c>
      <c r="L247">
        <v>1</v>
      </c>
      <c r="M247">
        <v>1</v>
      </c>
      <c r="N247">
        <v>8</v>
      </c>
    </row>
    <row r="248" spans="1:14" x14ac:dyDescent="0.2">
      <c r="A248">
        <v>247</v>
      </c>
      <c r="B248">
        <v>101</v>
      </c>
      <c r="C248">
        <v>2</v>
      </c>
      <c r="D248" t="str">
        <f>HLOOKUP(Dados!C248,'Variáveis e códigos'!$C$4:$F$5,2,FALSE)</f>
        <v>Feminino</v>
      </c>
      <c r="E248">
        <v>7</v>
      </c>
      <c r="F248">
        <v>1</v>
      </c>
      <c r="G248">
        <v>2</v>
      </c>
      <c r="H248">
        <v>2</v>
      </c>
      <c r="I248">
        <v>1</v>
      </c>
      <c r="J248">
        <v>1</v>
      </c>
      <c r="K248">
        <v>0</v>
      </c>
      <c r="L248">
        <v>0</v>
      </c>
      <c r="M248">
        <v>1</v>
      </c>
      <c r="N248">
        <v>10</v>
      </c>
    </row>
    <row r="249" spans="1:14" x14ac:dyDescent="0.2">
      <c r="A249">
        <v>248</v>
      </c>
      <c r="B249">
        <v>101</v>
      </c>
      <c r="C249">
        <v>1</v>
      </c>
      <c r="D249" t="str">
        <f>HLOOKUP(Dados!C249,'Variáveis e códigos'!$C$4:$F$5,2,FALSE)</f>
        <v>Masculino</v>
      </c>
      <c r="E249">
        <v>6</v>
      </c>
      <c r="F249">
        <v>1</v>
      </c>
      <c r="G249">
        <v>1</v>
      </c>
      <c r="H249">
        <v>0</v>
      </c>
      <c r="I249">
        <v>0</v>
      </c>
      <c r="J249">
        <v>2</v>
      </c>
      <c r="K249">
        <v>0</v>
      </c>
      <c r="L249">
        <v>0</v>
      </c>
      <c r="M249">
        <v>0</v>
      </c>
      <c r="N249">
        <v>9</v>
      </c>
    </row>
    <row r="250" spans="1:14" x14ac:dyDescent="0.2">
      <c r="A250">
        <v>249</v>
      </c>
      <c r="B250">
        <v>101</v>
      </c>
      <c r="C250">
        <v>1</v>
      </c>
      <c r="D250" t="str">
        <f>HLOOKUP(Dados!C250,'Variáveis e códigos'!$C$4:$F$5,2,FALSE)</f>
        <v>Masculino</v>
      </c>
      <c r="E250">
        <v>8</v>
      </c>
      <c r="F250">
        <v>1</v>
      </c>
      <c r="G250">
        <v>1</v>
      </c>
      <c r="H250">
        <v>2</v>
      </c>
      <c r="I250">
        <v>2</v>
      </c>
      <c r="J250">
        <v>1</v>
      </c>
      <c r="K250">
        <v>1</v>
      </c>
      <c r="L250">
        <v>0</v>
      </c>
      <c r="M250">
        <v>1</v>
      </c>
      <c r="N250">
        <v>9</v>
      </c>
    </row>
    <row r="251" spans="1:14" x14ac:dyDescent="0.2">
      <c r="A251">
        <v>250</v>
      </c>
      <c r="B251">
        <v>101</v>
      </c>
      <c r="C251">
        <v>1</v>
      </c>
      <c r="D251" t="str">
        <f>HLOOKUP(Dados!C251,'Variáveis e códigos'!$C$4:$F$5,2,FALSE)</f>
        <v>Masculino</v>
      </c>
      <c r="E251">
        <v>8</v>
      </c>
      <c r="F251">
        <v>1</v>
      </c>
      <c r="G251">
        <v>1</v>
      </c>
      <c r="H251">
        <v>2</v>
      </c>
      <c r="I251">
        <v>0</v>
      </c>
      <c r="J251">
        <v>2</v>
      </c>
      <c r="K251">
        <v>0</v>
      </c>
      <c r="L251">
        <v>0</v>
      </c>
      <c r="M251">
        <v>1</v>
      </c>
      <c r="N251">
        <v>7</v>
      </c>
    </row>
    <row r="252" spans="1:14" x14ac:dyDescent="0.2">
      <c r="A252">
        <v>251</v>
      </c>
      <c r="B252">
        <v>101</v>
      </c>
      <c r="C252">
        <v>2</v>
      </c>
      <c r="D252" t="str">
        <f>HLOOKUP(Dados!C252,'Variáveis e códigos'!$C$4:$F$5,2,FALSE)</f>
        <v>Feminino</v>
      </c>
      <c r="E252">
        <v>9</v>
      </c>
      <c r="F252">
        <v>1</v>
      </c>
      <c r="G252">
        <v>1</v>
      </c>
      <c r="H252">
        <v>0</v>
      </c>
      <c r="I252">
        <v>0</v>
      </c>
      <c r="J252">
        <v>2</v>
      </c>
      <c r="K252">
        <v>0</v>
      </c>
      <c r="L252">
        <v>0</v>
      </c>
      <c r="M252">
        <v>0</v>
      </c>
      <c r="N252">
        <v>8</v>
      </c>
    </row>
    <row r="253" spans="1:14" x14ac:dyDescent="0.2">
      <c r="A253">
        <v>252</v>
      </c>
      <c r="B253">
        <v>101</v>
      </c>
      <c r="C253">
        <v>2</v>
      </c>
      <c r="D253" t="str">
        <f>HLOOKUP(Dados!C253,'Variáveis e códigos'!$C$4:$F$5,2,FALSE)</f>
        <v>Feminino</v>
      </c>
      <c r="E253">
        <v>6</v>
      </c>
      <c r="F253">
        <v>1</v>
      </c>
      <c r="G253">
        <v>2</v>
      </c>
      <c r="H253">
        <v>1</v>
      </c>
      <c r="I253">
        <v>1</v>
      </c>
      <c r="J253">
        <v>1</v>
      </c>
      <c r="K253">
        <v>0</v>
      </c>
      <c r="L253">
        <v>1</v>
      </c>
      <c r="M253">
        <v>1</v>
      </c>
      <c r="N253">
        <v>8</v>
      </c>
    </row>
    <row r="254" spans="1:14" x14ac:dyDescent="0.2">
      <c r="A254">
        <v>253</v>
      </c>
      <c r="B254">
        <v>101</v>
      </c>
      <c r="C254">
        <v>1</v>
      </c>
      <c r="D254" t="str">
        <f>HLOOKUP(Dados!C254,'Variáveis e códigos'!$C$4:$F$5,2,FALSE)</f>
        <v>Masculino</v>
      </c>
      <c r="E254">
        <v>7</v>
      </c>
      <c r="F254">
        <v>1</v>
      </c>
      <c r="G254">
        <v>2</v>
      </c>
      <c r="H254">
        <v>2</v>
      </c>
      <c r="I254">
        <v>0</v>
      </c>
      <c r="J254">
        <v>2</v>
      </c>
      <c r="K254">
        <v>0</v>
      </c>
      <c r="L254">
        <v>2</v>
      </c>
      <c r="M254">
        <v>2</v>
      </c>
      <c r="N254">
        <v>10</v>
      </c>
    </row>
    <row r="255" spans="1:14" x14ac:dyDescent="0.2">
      <c r="A255">
        <v>254</v>
      </c>
      <c r="B255">
        <v>101</v>
      </c>
      <c r="C255">
        <v>1</v>
      </c>
      <c r="D255" t="str">
        <f>HLOOKUP(Dados!C255,'Variáveis e códigos'!$C$4:$F$5,2,FALSE)</f>
        <v>Masculino</v>
      </c>
      <c r="E255">
        <v>8</v>
      </c>
      <c r="F255">
        <v>1</v>
      </c>
      <c r="G255">
        <v>99</v>
      </c>
      <c r="H255">
        <v>0</v>
      </c>
      <c r="I255">
        <v>0</v>
      </c>
      <c r="J255">
        <v>2</v>
      </c>
      <c r="K255">
        <v>0</v>
      </c>
      <c r="L255">
        <v>0</v>
      </c>
      <c r="M255">
        <v>0</v>
      </c>
      <c r="N255">
        <v>12</v>
      </c>
    </row>
    <row r="256" spans="1:14" x14ac:dyDescent="0.2">
      <c r="A256">
        <v>255</v>
      </c>
      <c r="B256">
        <v>101</v>
      </c>
      <c r="C256">
        <v>1</v>
      </c>
      <c r="D256" t="str">
        <f>HLOOKUP(Dados!C256,'Variáveis e códigos'!$C$4:$F$5,2,FALSE)</f>
        <v>Masculino</v>
      </c>
      <c r="E256">
        <v>8</v>
      </c>
      <c r="F256">
        <v>1</v>
      </c>
      <c r="G256">
        <v>2</v>
      </c>
      <c r="H256">
        <v>0</v>
      </c>
      <c r="I256">
        <v>0</v>
      </c>
      <c r="J256">
        <v>2</v>
      </c>
      <c r="K256">
        <v>0</v>
      </c>
      <c r="L256">
        <v>0</v>
      </c>
      <c r="M256">
        <v>0</v>
      </c>
      <c r="N256">
        <v>8</v>
      </c>
    </row>
    <row r="257" spans="1:14" x14ac:dyDescent="0.2">
      <c r="A257">
        <v>256</v>
      </c>
      <c r="B257">
        <v>101</v>
      </c>
      <c r="C257">
        <v>2</v>
      </c>
      <c r="D257" t="str">
        <f>HLOOKUP(Dados!C257,'Variáveis e códigos'!$C$4:$F$5,2,FALSE)</f>
        <v>Feminino</v>
      </c>
      <c r="E257">
        <v>6</v>
      </c>
      <c r="F257">
        <v>1</v>
      </c>
      <c r="G257">
        <v>1</v>
      </c>
      <c r="H257">
        <v>0</v>
      </c>
      <c r="I257">
        <v>0</v>
      </c>
      <c r="J257">
        <v>2</v>
      </c>
      <c r="K257">
        <v>0</v>
      </c>
      <c r="L257">
        <v>1</v>
      </c>
      <c r="M257">
        <v>1</v>
      </c>
      <c r="N257">
        <v>8</v>
      </c>
    </row>
    <row r="258" spans="1:14" x14ac:dyDescent="0.2">
      <c r="A258">
        <v>257</v>
      </c>
      <c r="B258">
        <v>101</v>
      </c>
      <c r="C258">
        <v>2</v>
      </c>
      <c r="D258" t="str">
        <f>HLOOKUP(Dados!C258,'Variáveis e códigos'!$C$4:$F$5,2,FALSE)</f>
        <v>Feminino</v>
      </c>
      <c r="E258">
        <v>9</v>
      </c>
      <c r="F258">
        <v>1</v>
      </c>
      <c r="G258">
        <v>3</v>
      </c>
      <c r="H258">
        <v>2</v>
      </c>
      <c r="I258">
        <v>1</v>
      </c>
      <c r="J258">
        <v>1</v>
      </c>
      <c r="K258">
        <v>2</v>
      </c>
      <c r="L258">
        <v>1</v>
      </c>
      <c r="M258">
        <v>1</v>
      </c>
      <c r="N258">
        <v>9</v>
      </c>
    </row>
    <row r="259" spans="1:14" x14ac:dyDescent="0.2">
      <c r="A259">
        <v>258</v>
      </c>
      <c r="B259">
        <v>101</v>
      </c>
      <c r="C259">
        <v>1</v>
      </c>
      <c r="D259" t="str">
        <f>HLOOKUP(Dados!C259,'Variáveis e códigos'!$C$4:$F$5,2,FALSE)</f>
        <v>Masculino</v>
      </c>
      <c r="E259">
        <v>6</v>
      </c>
      <c r="F259">
        <v>1</v>
      </c>
      <c r="G259">
        <v>1</v>
      </c>
      <c r="H259">
        <v>1</v>
      </c>
      <c r="I259">
        <v>0</v>
      </c>
      <c r="J259">
        <v>2</v>
      </c>
      <c r="K259">
        <v>0</v>
      </c>
      <c r="L259">
        <v>0</v>
      </c>
      <c r="M259">
        <v>1</v>
      </c>
      <c r="N259">
        <v>8</v>
      </c>
    </row>
    <row r="260" spans="1:14" x14ac:dyDescent="0.2">
      <c r="A260">
        <v>259</v>
      </c>
      <c r="B260">
        <v>101</v>
      </c>
      <c r="C260">
        <v>1</v>
      </c>
      <c r="D260" t="str">
        <f>HLOOKUP(Dados!C260,'Variáveis e códigos'!$C$4:$F$5,2,FALSE)</f>
        <v>Masculino</v>
      </c>
      <c r="E260">
        <v>8</v>
      </c>
      <c r="F260">
        <v>1</v>
      </c>
      <c r="G260">
        <v>3</v>
      </c>
      <c r="H260">
        <v>0</v>
      </c>
      <c r="I260">
        <v>0</v>
      </c>
      <c r="J260">
        <v>2</v>
      </c>
      <c r="K260">
        <v>0</v>
      </c>
      <c r="L260">
        <v>0</v>
      </c>
      <c r="M260">
        <v>0</v>
      </c>
      <c r="N260">
        <v>8</v>
      </c>
    </row>
    <row r="261" spans="1:14" x14ac:dyDescent="0.2">
      <c r="A261">
        <v>260</v>
      </c>
      <c r="B261">
        <v>101</v>
      </c>
      <c r="C261">
        <v>1</v>
      </c>
      <c r="D261" t="str">
        <f>HLOOKUP(Dados!C261,'Variáveis e códigos'!$C$4:$F$5,2,FALSE)</f>
        <v>Masculino</v>
      </c>
      <c r="E261">
        <v>9</v>
      </c>
      <c r="F261">
        <v>1</v>
      </c>
      <c r="G261">
        <v>99</v>
      </c>
      <c r="H261">
        <v>0</v>
      </c>
      <c r="I261">
        <v>2</v>
      </c>
      <c r="J261">
        <v>2</v>
      </c>
      <c r="K261">
        <v>1</v>
      </c>
      <c r="L261">
        <v>2</v>
      </c>
      <c r="M261">
        <v>2</v>
      </c>
      <c r="N261">
        <v>8</v>
      </c>
    </row>
    <row r="262" spans="1:14" x14ac:dyDescent="0.2">
      <c r="A262">
        <v>261</v>
      </c>
      <c r="B262">
        <v>101</v>
      </c>
      <c r="C262">
        <v>1</v>
      </c>
      <c r="D262" t="str">
        <f>HLOOKUP(Dados!C262,'Variáveis e códigos'!$C$4:$F$5,2,FALSE)</f>
        <v>Masculino</v>
      </c>
      <c r="E262">
        <v>8</v>
      </c>
      <c r="F262">
        <v>1</v>
      </c>
      <c r="G262">
        <v>1</v>
      </c>
      <c r="H262">
        <v>2</v>
      </c>
      <c r="I262">
        <v>0</v>
      </c>
      <c r="J262">
        <v>2</v>
      </c>
      <c r="K262">
        <v>0</v>
      </c>
      <c r="L262">
        <v>0</v>
      </c>
      <c r="M262">
        <v>0</v>
      </c>
      <c r="N262">
        <v>10</v>
      </c>
    </row>
    <row r="263" spans="1:14" x14ac:dyDescent="0.2">
      <c r="A263">
        <v>262</v>
      </c>
      <c r="B263">
        <v>101</v>
      </c>
      <c r="C263">
        <v>2</v>
      </c>
      <c r="D263" t="str">
        <f>HLOOKUP(Dados!C263,'Variáveis e códigos'!$C$4:$F$5,2,FALSE)</f>
        <v>Feminino</v>
      </c>
      <c r="E263">
        <v>8</v>
      </c>
      <c r="F263">
        <v>1</v>
      </c>
      <c r="G263">
        <v>1</v>
      </c>
      <c r="H263">
        <v>0</v>
      </c>
      <c r="I263">
        <v>2</v>
      </c>
      <c r="J263">
        <v>1</v>
      </c>
      <c r="K263">
        <v>0</v>
      </c>
      <c r="L263">
        <v>2</v>
      </c>
      <c r="M263">
        <v>1</v>
      </c>
      <c r="N263">
        <v>8</v>
      </c>
    </row>
    <row r="264" spans="1:14" x14ac:dyDescent="0.2">
      <c r="A264">
        <v>263</v>
      </c>
      <c r="B264">
        <v>101</v>
      </c>
      <c r="C264">
        <v>2</v>
      </c>
      <c r="D264" t="str">
        <f>HLOOKUP(Dados!C264,'Variáveis e códigos'!$C$4:$F$5,2,FALSE)</f>
        <v>Feminino</v>
      </c>
      <c r="E264">
        <v>6</v>
      </c>
      <c r="F264">
        <v>1</v>
      </c>
      <c r="G264">
        <v>3</v>
      </c>
      <c r="H264">
        <v>0</v>
      </c>
      <c r="I264">
        <v>0</v>
      </c>
      <c r="J264">
        <v>2</v>
      </c>
      <c r="K264">
        <v>0</v>
      </c>
      <c r="L264">
        <v>0</v>
      </c>
      <c r="M264">
        <v>0</v>
      </c>
      <c r="N264">
        <v>8</v>
      </c>
    </row>
    <row r="265" spans="1:14" x14ac:dyDescent="0.2">
      <c r="A265">
        <v>264</v>
      </c>
      <c r="B265">
        <v>101</v>
      </c>
      <c r="C265">
        <v>1</v>
      </c>
      <c r="D265" t="str">
        <f>HLOOKUP(Dados!C265,'Variáveis e códigos'!$C$4:$F$5,2,FALSE)</f>
        <v>Masculino</v>
      </c>
      <c r="E265">
        <v>6</v>
      </c>
      <c r="F265">
        <v>1</v>
      </c>
      <c r="G265">
        <v>2</v>
      </c>
      <c r="H265">
        <v>0</v>
      </c>
      <c r="I265">
        <v>0</v>
      </c>
      <c r="J265">
        <v>2</v>
      </c>
      <c r="K265">
        <v>0</v>
      </c>
      <c r="L265">
        <v>1</v>
      </c>
      <c r="M265">
        <v>1</v>
      </c>
      <c r="N265">
        <v>9</v>
      </c>
    </row>
    <row r="266" spans="1:14" x14ac:dyDescent="0.2">
      <c r="A266">
        <v>265</v>
      </c>
      <c r="B266">
        <v>101</v>
      </c>
      <c r="C266">
        <v>1</v>
      </c>
      <c r="D266" t="str">
        <f>HLOOKUP(Dados!C266,'Variáveis e códigos'!$C$4:$F$5,2,FALSE)</f>
        <v>Masculino</v>
      </c>
      <c r="E266">
        <v>7</v>
      </c>
      <c r="F266">
        <v>1</v>
      </c>
      <c r="G266">
        <v>99</v>
      </c>
      <c r="H266">
        <v>0</v>
      </c>
      <c r="I266">
        <v>0</v>
      </c>
      <c r="J266">
        <v>2</v>
      </c>
      <c r="K266">
        <v>0</v>
      </c>
      <c r="L266">
        <v>0</v>
      </c>
      <c r="M266">
        <v>0</v>
      </c>
      <c r="N266">
        <v>8</v>
      </c>
    </row>
    <row r="267" spans="1:14" x14ac:dyDescent="0.2">
      <c r="A267">
        <v>266</v>
      </c>
      <c r="B267">
        <v>101</v>
      </c>
      <c r="C267">
        <v>1</v>
      </c>
      <c r="D267" t="str">
        <f>HLOOKUP(Dados!C267,'Variáveis e códigos'!$C$4:$F$5,2,FALSE)</f>
        <v>Masculino</v>
      </c>
      <c r="E267">
        <v>8</v>
      </c>
      <c r="F267">
        <v>1</v>
      </c>
      <c r="G267">
        <v>3</v>
      </c>
      <c r="H267">
        <v>0</v>
      </c>
      <c r="I267">
        <v>0</v>
      </c>
      <c r="J267">
        <v>2</v>
      </c>
      <c r="K267">
        <v>0</v>
      </c>
      <c r="L267">
        <v>0</v>
      </c>
      <c r="M267">
        <v>0</v>
      </c>
      <c r="N267">
        <v>8</v>
      </c>
    </row>
    <row r="268" spans="1:14" x14ac:dyDescent="0.2">
      <c r="A268">
        <v>267</v>
      </c>
      <c r="B268">
        <v>101</v>
      </c>
      <c r="C268">
        <v>1</v>
      </c>
      <c r="D268" t="str">
        <f>HLOOKUP(Dados!C268,'Variáveis e códigos'!$C$4:$F$5,2,FALSE)</f>
        <v>Masculino</v>
      </c>
      <c r="E268">
        <v>10</v>
      </c>
      <c r="F268">
        <v>1</v>
      </c>
      <c r="G268">
        <v>2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8</v>
      </c>
    </row>
    <row r="269" spans="1:14" x14ac:dyDescent="0.2">
      <c r="A269">
        <v>268</v>
      </c>
      <c r="B269">
        <v>101</v>
      </c>
      <c r="C269">
        <v>2</v>
      </c>
      <c r="D269" t="str">
        <f>HLOOKUP(Dados!C269,'Variáveis e códigos'!$C$4:$F$5,2,FALSE)</f>
        <v>Feminino</v>
      </c>
      <c r="E269">
        <v>7</v>
      </c>
      <c r="F269">
        <v>1</v>
      </c>
      <c r="G269">
        <v>1</v>
      </c>
      <c r="H269">
        <v>1</v>
      </c>
      <c r="I269">
        <v>0</v>
      </c>
      <c r="J269">
        <v>2</v>
      </c>
      <c r="K269">
        <v>0</v>
      </c>
      <c r="L269">
        <v>1</v>
      </c>
      <c r="M269">
        <v>1</v>
      </c>
      <c r="N269">
        <v>7</v>
      </c>
    </row>
    <row r="270" spans="1:14" x14ac:dyDescent="0.2">
      <c r="A270">
        <v>269</v>
      </c>
      <c r="B270">
        <v>101</v>
      </c>
      <c r="C270">
        <v>2</v>
      </c>
      <c r="D270" t="str">
        <f>HLOOKUP(Dados!C270,'Variáveis e códigos'!$C$4:$F$5,2,FALSE)</f>
        <v>Feminino</v>
      </c>
      <c r="E270">
        <v>9</v>
      </c>
      <c r="F270">
        <v>1</v>
      </c>
      <c r="G270">
        <v>3</v>
      </c>
      <c r="H270">
        <v>0</v>
      </c>
      <c r="I270">
        <v>0</v>
      </c>
      <c r="J270">
        <v>2</v>
      </c>
      <c r="K270">
        <v>0</v>
      </c>
      <c r="L270">
        <v>0</v>
      </c>
      <c r="M270">
        <v>0</v>
      </c>
      <c r="N270">
        <v>8</v>
      </c>
    </row>
    <row r="271" spans="1:14" x14ac:dyDescent="0.2">
      <c r="A271">
        <v>270</v>
      </c>
      <c r="B271">
        <v>101</v>
      </c>
      <c r="C271">
        <v>1</v>
      </c>
      <c r="D271" t="str">
        <f>HLOOKUP(Dados!C271,'Variáveis e códigos'!$C$4:$F$5,2,FALSE)</f>
        <v>Masculino</v>
      </c>
      <c r="E271">
        <v>6</v>
      </c>
      <c r="F271">
        <v>1</v>
      </c>
      <c r="G271">
        <v>99</v>
      </c>
      <c r="H271">
        <v>1</v>
      </c>
      <c r="I271">
        <v>0</v>
      </c>
      <c r="J271">
        <v>2</v>
      </c>
      <c r="K271">
        <v>0</v>
      </c>
      <c r="L271">
        <v>0</v>
      </c>
      <c r="M271">
        <v>0</v>
      </c>
      <c r="N271">
        <v>8</v>
      </c>
    </row>
    <row r="272" spans="1:14" x14ac:dyDescent="0.2">
      <c r="A272">
        <v>271</v>
      </c>
      <c r="B272">
        <v>101</v>
      </c>
      <c r="C272">
        <v>1</v>
      </c>
      <c r="D272" t="str">
        <f>HLOOKUP(Dados!C272,'Variáveis e códigos'!$C$4:$F$5,2,FALSE)</f>
        <v>Masculino</v>
      </c>
      <c r="E272">
        <v>8</v>
      </c>
      <c r="F272">
        <v>1</v>
      </c>
      <c r="G272">
        <v>99</v>
      </c>
      <c r="H272">
        <v>0</v>
      </c>
      <c r="I272">
        <v>0</v>
      </c>
      <c r="J272">
        <v>2</v>
      </c>
      <c r="K272">
        <v>0</v>
      </c>
      <c r="L272">
        <v>0</v>
      </c>
      <c r="M272">
        <v>0</v>
      </c>
      <c r="N272">
        <v>10</v>
      </c>
    </row>
    <row r="273" spans="1:14" x14ac:dyDescent="0.2">
      <c r="A273">
        <v>272</v>
      </c>
      <c r="B273">
        <v>101</v>
      </c>
      <c r="C273">
        <v>1</v>
      </c>
      <c r="D273" t="str">
        <f>HLOOKUP(Dados!C273,'Variáveis e códigos'!$C$4:$F$5,2,FALSE)</f>
        <v>Masculino</v>
      </c>
      <c r="E273">
        <v>6</v>
      </c>
      <c r="F273">
        <v>1</v>
      </c>
      <c r="G273">
        <v>2</v>
      </c>
      <c r="H273">
        <v>1</v>
      </c>
      <c r="I273">
        <v>0</v>
      </c>
      <c r="J273">
        <v>2</v>
      </c>
      <c r="K273">
        <v>0</v>
      </c>
      <c r="L273">
        <v>0</v>
      </c>
      <c r="M273">
        <v>0</v>
      </c>
      <c r="N273">
        <v>8</v>
      </c>
    </row>
    <row r="274" spans="1:14" x14ac:dyDescent="0.2">
      <c r="A274">
        <v>273</v>
      </c>
      <c r="B274">
        <v>101</v>
      </c>
      <c r="C274">
        <v>1</v>
      </c>
      <c r="D274" t="str">
        <f>HLOOKUP(Dados!C274,'Variáveis e códigos'!$C$4:$F$5,2,FALSE)</f>
        <v>Masculino</v>
      </c>
      <c r="E274">
        <v>9</v>
      </c>
      <c r="F274">
        <v>1</v>
      </c>
      <c r="G274">
        <v>2</v>
      </c>
      <c r="H274">
        <v>2</v>
      </c>
      <c r="I274">
        <v>2</v>
      </c>
      <c r="J274">
        <v>1</v>
      </c>
      <c r="K274">
        <v>1</v>
      </c>
      <c r="L274">
        <v>1</v>
      </c>
      <c r="M274">
        <v>1</v>
      </c>
      <c r="N274">
        <v>10</v>
      </c>
    </row>
    <row r="275" spans="1:14" x14ac:dyDescent="0.2">
      <c r="A275">
        <v>274</v>
      </c>
      <c r="B275">
        <v>101</v>
      </c>
      <c r="C275">
        <v>2</v>
      </c>
      <c r="D275" t="str">
        <f>HLOOKUP(Dados!C275,'Variáveis e códigos'!$C$4:$F$5,2,FALSE)</f>
        <v>Feminino</v>
      </c>
      <c r="E275">
        <v>6</v>
      </c>
      <c r="F275">
        <v>1</v>
      </c>
      <c r="G275">
        <v>1</v>
      </c>
      <c r="H275">
        <v>2</v>
      </c>
      <c r="I275">
        <v>1</v>
      </c>
      <c r="J275">
        <v>2</v>
      </c>
      <c r="K275">
        <v>1</v>
      </c>
      <c r="L275">
        <v>2</v>
      </c>
      <c r="M275">
        <v>1</v>
      </c>
      <c r="N275">
        <v>10</v>
      </c>
    </row>
    <row r="276" spans="1:14" x14ac:dyDescent="0.2">
      <c r="A276">
        <v>275</v>
      </c>
      <c r="B276">
        <v>101</v>
      </c>
      <c r="C276">
        <v>1</v>
      </c>
      <c r="D276" t="str">
        <f>HLOOKUP(Dados!C276,'Variáveis e códigos'!$C$4:$F$5,2,FALSE)</f>
        <v>Masculino</v>
      </c>
      <c r="E276">
        <v>6</v>
      </c>
      <c r="F276">
        <v>1</v>
      </c>
      <c r="G276">
        <v>2</v>
      </c>
      <c r="H276">
        <v>0</v>
      </c>
      <c r="I276">
        <v>1</v>
      </c>
      <c r="J276">
        <v>2</v>
      </c>
      <c r="K276">
        <v>0</v>
      </c>
      <c r="L276">
        <v>0</v>
      </c>
      <c r="M276">
        <v>0</v>
      </c>
      <c r="N276">
        <v>8</v>
      </c>
    </row>
    <row r="277" spans="1:14" x14ac:dyDescent="0.2">
      <c r="A277">
        <v>276</v>
      </c>
      <c r="B277">
        <v>101</v>
      </c>
      <c r="C277">
        <v>1</v>
      </c>
      <c r="D277" t="str">
        <f>HLOOKUP(Dados!C277,'Variáveis e códigos'!$C$4:$F$5,2,FALSE)</f>
        <v>Masculino</v>
      </c>
      <c r="E277">
        <v>8</v>
      </c>
      <c r="F277">
        <v>1</v>
      </c>
      <c r="G277">
        <v>3</v>
      </c>
      <c r="H277">
        <v>0</v>
      </c>
      <c r="I277">
        <v>1</v>
      </c>
      <c r="J277">
        <v>2</v>
      </c>
      <c r="K277">
        <v>0</v>
      </c>
      <c r="L277">
        <v>0</v>
      </c>
      <c r="M277">
        <v>1</v>
      </c>
      <c r="N277">
        <v>8</v>
      </c>
    </row>
    <row r="278" spans="1:14" x14ac:dyDescent="0.2">
      <c r="A278">
        <v>277</v>
      </c>
      <c r="B278">
        <v>101</v>
      </c>
      <c r="C278">
        <v>2</v>
      </c>
      <c r="D278" t="str">
        <f>HLOOKUP(Dados!C278,'Variáveis e códigos'!$C$4:$F$5,2,FALSE)</f>
        <v>Feminino</v>
      </c>
      <c r="E278">
        <v>9</v>
      </c>
      <c r="F278">
        <v>1</v>
      </c>
      <c r="G278">
        <v>1</v>
      </c>
      <c r="H278">
        <v>1</v>
      </c>
      <c r="I278">
        <v>1</v>
      </c>
      <c r="J278">
        <v>2</v>
      </c>
      <c r="K278">
        <v>0</v>
      </c>
      <c r="L278">
        <v>2</v>
      </c>
      <c r="M278">
        <v>2</v>
      </c>
      <c r="N278">
        <v>9</v>
      </c>
    </row>
    <row r="279" spans="1:14" x14ac:dyDescent="0.2">
      <c r="A279">
        <v>278</v>
      </c>
      <c r="B279">
        <v>101</v>
      </c>
      <c r="C279">
        <v>2</v>
      </c>
      <c r="D279" t="str">
        <f>HLOOKUP(Dados!C279,'Variáveis e códigos'!$C$4:$F$5,2,FALSE)</f>
        <v>Feminino</v>
      </c>
      <c r="E279">
        <v>9</v>
      </c>
      <c r="F279">
        <v>1</v>
      </c>
      <c r="G279">
        <v>3</v>
      </c>
      <c r="H279">
        <v>1</v>
      </c>
      <c r="I279">
        <v>0</v>
      </c>
      <c r="J279">
        <v>1</v>
      </c>
      <c r="K279">
        <v>0</v>
      </c>
      <c r="L279">
        <v>0</v>
      </c>
      <c r="M279">
        <v>0</v>
      </c>
      <c r="N279">
        <v>9</v>
      </c>
    </row>
    <row r="280" spans="1:14" x14ac:dyDescent="0.2">
      <c r="A280">
        <v>279</v>
      </c>
      <c r="B280">
        <v>101</v>
      </c>
      <c r="C280">
        <v>1</v>
      </c>
      <c r="D280" t="str">
        <f>HLOOKUP(Dados!C280,'Variáveis e códigos'!$C$4:$F$5,2,FALSE)</f>
        <v>Masculino</v>
      </c>
      <c r="E280">
        <v>8</v>
      </c>
      <c r="F280">
        <v>1</v>
      </c>
      <c r="G280">
        <v>3</v>
      </c>
      <c r="H280">
        <v>0</v>
      </c>
      <c r="I280">
        <v>0</v>
      </c>
      <c r="J280">
        <v>2</v>
      </c>
      <c r="K280">
        <v>0</v>
      </c>
      <c r="L280">
        <v>1</v>
      </c>
      <c r="M280">
        <v>1</v>
      </c>
      <c r="N280">
        <v>9</v>
      </c>
    </row>
    <row r="281" spans="1:14" x14ac:dyDescent="0.2">
      <c r="A281">
        <v>280</v>
      </c>
      <c r="B281">
        <v>101</v>
      </c>
      <c r="C281">
        <v>2</v>
      </c>
      <c r="D281" t="str">
        <f>HLOOKUP(Dados!C281,'Variáveis e códigos'!$C$4:$F$5,2,FALSE)</f>
        <v>Feminino</v>
      </c>
      <c r="E281">
        <v>6</v>
      </c>
      <c r="F281">
        <v>1</v>
      </c>
      <c r="G281">
        <v>1</v>
      </c>
      <c r="H281">
        <v>0</v>
      </c>
      <c r="I281">
        <v>0</v>
      </c>
      <c r="J281">
        <v>2</v>
      </c>
      <c r="K281">
        <v>0</v>
      </c>
      <c r="L281">
        <v>0</v>
      </c>
      <c r="M281">
        <v>0</v>
      </c>
      <c r="N281">
        <v>8</v>
      </c>
    </row>
    <row r="282" spans="1:14" x14ac:dyDescent="0.2">
      <c r="A282">
        <v>281</v>
      </c>
      <c r="B282">
        <v>101</v>
      </c>
      <c r="C282">
        <v>2</v>
      </c>
      <c r="D282" t="str">
        <f>HLOOKUP(Dados!C282,'Variáveis e códigos'!$C$4:$F$5,2,FALSE)</f>
        <v>Feminino</v>
      </c>
      <c r="E282">
        <v>7</v>
      </c>
      <c r="F282">
        <v>1</v>
      </c>
      <c r="G282">
        <v>1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9</v>
      </c>
    </row>
    <row r="283" spans="1:14" x14ac:dyDescent="0.2">
      <c r="A283">
        <v>282</v>
      </c>
      <c r="B283">
        <v>101</v>
      </c>
      <c r="C283">
        <v>1</v>
      </c>
      <c r="D283" t="str">
        <f>HLOOKUP(Dados!C283,'Variáveis e códigos'!$C$4:$F$5,2,FALSE)</f>
        <v>Masculino</v>
      </c>
      <c r="E283">
        <v>9</v>
      </c>
      <c r="F283">
        <v>1</v>
      </c>
      <c r="G283">
        <v>2</v>
      </c>
      <c r="H283">
        <v>1</v>
      </c>
      <c r="I283">
        <v>0</v>
      </c>
      <c r="J283">
        <v>2</v>
      </c>
      <c r="K283">
        <v>0</v>
      </c>
      <c r="L283">
        <v>2</v>
      </c>
      <c r="M283">
        <v>1</v>
      </c>
      <c r="N283">
        <v>8</v>
      </c>
    </row>
    <row r="284" spans="1:14" x14ac:dyDescent="0.2">
      <c r="A284">
        <v>283</v>
      </c>
      <c r="B284">
        <v>101</v>
      </c>
      <c r="C284">
        <v>2</v>
      </c>
      <c r="D284" t="str">
        <f>HLOOKUP(Dados!C284,'Variáveis e códigos'!$C$4:$F$5,2,FALSE)</f>
        <v>Feminino</v>
      </c>
      <c r="E284">
        <v>8</v>
      </c>
      <c r="F284">
        <v>1</v>
      </c>
      <c r="G284">
        <v>2</v>
      </c>
      <c r="H284">
        <v>2</v>
      </c>
      <c r="I284">
        <v>0</v>
      </c>
      <c r="J284">
        <v>2</v>
      </c>
      <c r="K284">
        <v>2</v>
      </c>
      <c r="L284">
        <v>0</v>
      </c>
      <c r="M284">
        <v>0</v>
      </c>
      <c r="N284">
        <v>10</v>
      </c>
    </row>
    <row r="285" spans="1:14" x14ac:dyDescent="0.2">
      <c r="A285">
        <v>284</v>
      </c>
      <c r="B285">
        <v>101</v>
      </c>
      <c r="C285">
        <v>1</v>
      </c>
      <c r="D285" t="str">
        <f>HLOOKUP(Dados!C285,'Variáveis e códigos'!$C$4:$F$5,2,FALSE)</f>
        <v>Masculino</v>
      </c>
      <c r="E285">
        <v>6</v>
      </c>
      <c r="F285">
        <v>1</v>
      </c>
      <c r="G285">
        <v>2</v>
      </c>
      <c r="H285">
        <v>0</v>
      </c>
      <c r="I285">
        <v>0</v>
      </c>
      <c r="J285">
        <v>2</v>
      </c>
      <c r="K285">
        <v>0</v>
      </c>
      <c r="L285">
        <v>0</v>
      </c>
      <c r="M285">
        <v>0</v>
      </c>
      <c r="N285">
        <v>8</v>
      </c>
    </row>
    <row r="286" spans="1:14" x14ac:dyDescent="0.2">
      <c r="A286">
        <v>285</v>
      </c>
      <c r="B286">
        <v>101</v>
      </c>
      <c r="C286">
        <v>1</v>
      </c>
      <c r="D286" t="str">
        <f>HLOOKUP(Dados!C286,'Variáveis e códigos'!$C$4:$F$5,2,FALSE)</f>
        <v>Masculino</v>
      </c>
      <c r="E286">
        <v>7</v>
      </c>
      <c r="F286">
        <v>1</v>
      </c>
      <c r="G286">
        <v>1</v>
      </c>
      <c r="H286">
        <v>0</v>
      </c>
      <c r="I286">
        <v>0</v>
      </c>
      <c r="J286">
        <v>2</v>
      </c>
      <c r="K286">
        <v>0</v>
      </c>
      <c r="L286">
        <v>0</v>
      </c>
      <c r="M286">
        <v>0</v>
      </c>
      <c r="N286">
        <v>10</v>
      </c>
    </row>
    <row r="287" spans="1:14" x14ac:dyDescent="0.2">
      <c r="A287">
        <v>286</v>
      </c>
      <c r="B287">
        <v>101</v>
      </c>
      <c r="C287">
        <v>2</v>
      </c>
      <c r="D287" t="str">
        <f>HLOOKUP(Dados!C287,'Variáveis e códigos'!$C$4:$F$5,2,FALSE)</f>
        <v>Feminino</v>
      </c>
      <c r="E287">
        <v>7</v>
      </c>
      <c r="F287">
        <v>1</v>
      </c>
      <c r="G287">
        <v>2</v>
      </c>
      <c r="H287">
        <v>2</v>
      </c>
      <c r="I287">
        <v>99</v>
      </c>
      <c r="J287">
        <v>0</v>
      </c>
      <c r="K287">
        <v>0</v>
      </c>
      <c r="L287">
        <v>0</v>
      </c>
      <c r="M287">
        <v>0</v>
      </c>
      <c r="N287">
        <v>9</v>
      </c>
    </row>
    <row r="288" spans="1:14" x14ac:dyDescent="0.2">
      <c r="A288">
        <v>287</v>
      </c>
      <c r="B288">
        <v>101</v>
      </c>
      <c r="C288">
        <v>1</v>
      </c>
      <c r="D288" t="str">
        <f>HLOOKUP(Dados!C288,'Variáveis e códigos'!$C$4:$F$5,2,FALSE)</f>
        <v>Masculino</v>
      </c>
      <c r="E288">
        <v>9</v>
      </c>
      <c r="F288">
        <v>1</v>
      </c>
      <c r="G288">
        <v>2</v>
      </c>
      <c r="H288">
        <v>2</v>
      </c>
      <c r="I288">
        <v>0</v>
      </c>
      <c r="J288">
        <v>1</v>
      </c>
      <c r="K288">
        <v>0</v>
      </c>
      <c r="L288">
        <v>1</v>
      </c>
      <c r="M288">
        <v>1</v>
      </c>
      <c r="N288">
        <v>9</v>
      </c>
    </row>
    <row r="289" spans="1:14" x14ac:dyDescent="0.2">
      <c r="A289">
        <v>288</v>
      </c>
      <c r="B289">
        <v>101</v>
      </c>
      <c r="C289">
        <v>1</v>
      </c>
      <c r="D289" t="str">
        <f>HLOOKUP(Dados!C289,'Variáveis e códigos'!$C$4:$F$5,2,FALSE)</f>
        <v>Masculino</v>
      </c>
      <c r="E289">
        <v>9</v>
      </c>
      <c r="F289">
        <v>1</v>
      </c>
      <c r="G289">
        <v>2</v>
      </c>
      <c r="H289">
        <v>0</v>
      </c>
      <c r="I289">
        <v>0</v>
      </c>
      <c r="J289">
        <v>2</v>
      </c>
      <c r="K289">
        <v>0</v>
      </c>
      <c r="L289">
        <v>0</v>
      </c>
      <c r="M289">
        <v>0</v>
      </c>
      <c r="N289">
        <v>7</v>
      </c>
    </row>
    <row r="290" spans="1:14" x14ac:dyDescent="0.2">
      <c r="A290">
        <v>289</v>
      </c>
      <c r="B290">
        <v>101</v>
      </c>
      <c r="C290">
        <v>2</v>
      </c>
      <c r="D290" t="str">
        <f>HLOOKUP(Dados!C290,'Variáveis e códigos'!$C$4:$F$5,2,FALSE)</f>
        <v>Feminino</v>
      </c>
      <c r="E290">
        <v>8</v>
      </c>
      <c r="F290">
        <v>1</v>
      </c>
      <c r="G290">
        <v>2</v>
      </c>
      <c r="H290">
        <v>0</v>
      </c>
      <c r="I290">
        <v>0</v>
      </c>
      <c r="J290">
        <v>2</v>
      </c>
      <c r="K290">
        <v>0</v>
      </c>
      <c r="L290">
        <v>0</v>
      </c>
      <c r="M290">
        <v>0</v>
      </c>
      <c r="N290">
        <v>8</v>
      </c>
    </row>
    <row r="291" spans="1:14" x14ac:dyDescent="0.2">
      <c r="A291">
        <v>290</v>
      </c>
      <c r="B291">
        <v>101</v>
      </c>
      <c r="C291">
        <v>2</v>
      </c>
      <c r="D291" t="str">
        <f>HLOOKUP(Dados!C291,'Variáveis e códigos'!$C$4:$F$5,2,FALSE)</f>
        <v>Feminino</v>
      </c>
      <c r="E291">
        <v>8</v>
      </c>
      <c r="F291">
        <v>1</v>
      </c>
      <c r="G291">
        <v>2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7</v>
      </c>
    </row>
    <row r="292" spans="1:14" x14ac:dyDescent="0.2">
      <c r="A292">
        <v>291</v>
      </c>
      <c r="B292">
        <v>101</v>
      </c>
      <c r="C292">
        <v>2</v>
      </c>
      <c r="D292" t="str">
        <f>HLOOKUP(Dados!C292,'Variáveis e códigos'!$C$4:$F$5,2,FALSE)</f>
        <v>Feminino</v>
      </c>
      <c r="E292">
        <v>9</v>
      </c>
      <c r="F292">
        <v>1</v>
      </c>
      <c r="G292">
        <v>99</v>
      </c>
      <c r="H292">
        <v>1</v>
      </c>
      <c r="I292">
        <v>0</v>
      </c>
      <c r="J292">
        <v>0</v>
      </c>
      <c r="K292">
        <v>0</v>
      </c>
      <c r="L292">
        <v>0</v>
      </c>
      <c r="M292">
        <v>1</v>
      </c>
      <c r="N292">
        <v>8</v>
      </c>
    </row>
    <row r="293" spans="1:14" x14ac:dyDescent="0.2">
      <c r="A293">
        <v>292</v>
      </c>
      <c r="B293">
        <v>101</v>
      </c>
      <c r="C293">
        <v>1</v>
      </c>
      <c r="D293" t="str">
        <f>HLOOKUP(Dados!C293,'Variáveis e códigos'!$C$4:$F$5,2,FALSE)</f>
        <v>Masculino</v>
      </c>
      <c r="E293">
        <v>6</v>
      </c>
      <c r="F293">
        <v>1</v>
      </c>
      <c r="G293">
        <v>2</v>
      </c>
      <c r="H293">
        <v>2</v>
      </c>
      <c r="I293">
        <v>0</v>
      </c>
      <c r="J293">
        <v>2</v>
      </c>
      <c r="K293">
        <v>0</v>
      </c>
      <c r="L293">
        <v>2</v>
      </c>
      <c r="M293">
        <v>2</v>
      </c>
      <c r="N293">
        <v>8</v>
      </c>
    </row>
    <row r="294" spans="1:14" x14ac:dyDescent="0.2">
      <c r="A294">
        <v>293</v>
      </c>
      <c r="B294">
        <v>101</v>
      </c>
      <c r="C294">
        <v>1</v>
      </c>
      <c r="D294" t="str">
        <f>HLOOKUP(Dados!C294,'Variáveis e códigos'!$C$4:$F$5,2,FALSE)</f>
        <v>Masculino</v>
      </c>
      <c r="E294">
        <v>9</v>
      </c>
      <c r="F294">
        <v>1</v>
      </c>
      <c r="G294">
        <v>3</v>
      </c>
      <c r="H294">
        <v>1</v>
      </c>
      <c r="I294">
        <v>1</v>
      </c>
      <c r="J294">
        <v>1</v>
      </c>
      <c r="K294">
        <v>0</v>
      </c>
      <c r="L294">
        <v>0</v>
      </c>
      <c r="M294">
        <v>0</v>
      </c>
      <c r="N294">
        <v>8</v>
      </c>
    </row>
    <row r="295" spans="1:14" x14ac:dyDescent="0.2">
      <c r="A295">
        <v>294</v>
      </c>
      <c r="B295">
        <v>101</v>
      </c>
      <c r="C295">
        <v>2</v>
      </c>
      <c r="D295" t="str">
        <f>HLOOKUP(Dados!C295,'Variáveis e códigos'!$C$4:$F$5,2,FALSE)</f>
        <v>Feminino</v>
      </c>
      <c r="E295">
        <v>9</v>
      </c>
      <c r="F295">
        <v>1</v>
      </c>
      <c r="G295">
        <v>1</v>
      </c>
      <c r="H295">
        <v>1</v>
      </c>
      <c r="I295">
        <v>1</v>
      </c>
      <c r="J295">
        <v>2</v>
      </c>
      <c r="K295">
        <v>0</v>
      </c>
      <c r="L295">
        <v>1</v>
      </c>
      <c r="M295">
        <v>1</v>
      </c>
      <c r="N295">
        <v>9</v>
      </c>
    </row>
    <row r="296" spans="1:14" x14ac:dyDescent="0.2">
      <c r="A296">
        <v>295</v>
      </c>
      <c r="B296">
        <v>101</v>
      </c>
      <c r="C296">
        <v>1</v>
      </c>
      <c r="D296" t="str">
        <f>HLOOKUP(Dados!C296,'Variáveis e códigos'!$C$4:$F$5,2,FALSE)</f>
        <v>Masculino</v>
      </c>
      <c r="E296">
        <v>6</v>
      </c>
      <c r="F296">
        <v>1</v>
      </c>
      <c r="G296">
        <v>3</v>
      </c>
      <c r="H296">
        <v>2</v>
      </c>
      <c r="I296">
        <v>1</v>
      </c>
      <c r="J296">
        <v>1</v>
      </c>
      <c r="K296">
        <v>0</v>
      </c>
      <c r="L296">
        <v>1</v>
      </c>
      <c r="M296">
        <v>1</v>
      </c>
      <c r="N296">
        <v>10</v>
      </c>
    </row>
    <row r="297" spans="1:14" x14ac:dyDescent="0.2">
      <c r="A297">
        <v>296</v>
      </c>
      <c r="B297">
        <v>101</v>
      </c>
      <c r="C297">
        <v>2</v>
      </c>
      <c r="D297" t="str">
        <f>HLOOKUP(Dados!C297,'Variáveis e códigos'!$C$4:$F$5,2,FALSE)</f>
        <v>Feminino</v>
      </c>
      <c r="E297">
        <v>7</v>
      </c>
      <c r="F297">
        <v>1</v>
      </c>
      <c r="G297">
        <v>2</v>
      </c>
      <c r="H297">
        <v>0</v>
      </c>
      <c r="I297">
        <v>0</v>
      </c>
      <c r="J297">
        <v>2</v>
      </c>
      <c r="K297">
        <v>0</v>
      </c>
      <c r="L297">
        <v>0</v>
      </c>
      <c r="M297">
        <v>0</v>
      </c>
      <c r="N297">
        <v>9</v>
      </c>
    </row>
    <row r="298" spans="1:14" x14ac:dyDescent="0.2">
      <c r="A298">
        <v>297</v>
      </c>
      <c r="B298">
        <v>101</v>
      </c>
      <c r="C298">
        <v>1</v>
      </c>
      <c r="D298" t="str">
        <f>HLOOKUP(Dados!C298,'Variáveis e códigos'!$C$4:$F$5,2,FALSE)</f>
        <v>Masculino</v>
      </c>
      <c r="E298">
        <v>7</v>
      </c>
      <c r="F298">
        <v>1</v>
      </c>
      <c r="G298">
        <v>2</v>
      </c>
      <c r="H298">
        <v>1</v>
      </c>
      <c r="I298">
        <v>0</v>
      </c>
      <c r="J298">
        <v>2</v>
      </c>
      <c r="K298">
        <v>0</v>
      </c>
      <c r="L298">
        <v>0</v>
      </c>
      <c r="M298">
        <v>0</v>
      </c>
      <c r="N298">
        <v>9</v>
      </c>
    </row>
    <row r="299" spans="1:14" x14ac:dyDescent="0.2">
      <c r="A299">
        <v>298</v>
      </c>
      <c r="B299">
        <v>101</v>
      </c>
      <c r="C299">
        <v>1</v>
      </c>
      <c r="D299" t="str">
        <f>HLOOKUP(Dados!C299,'Variáveis e códigos'!$C$4:$F$5,2,FALSE)</f>
        <v>Masculino</v>
      </c>
      <c r="E299">
        <v>6</v>
      </c>
      <c r="F299">
        <v>1</v>
      </c>
      <c r="G299">
        <v>3</v>
      </c>
      <c r="H299">
        <v>0</v>
      </c>
      <c r="I299">
        <v>0</v>
      </c>
      <c r="J299">
        <v>2</v>
      </c>
      <c r="K299">
        <v>0</v>
      </c>
      <c r="L299">
        <v>0</v>
      </c>
      <c r="M299">
        <v>1</v>
      </c>
      <c r="N299">
        <v>9</v>
      </c>
    </row>
    <row r="300" spans="1:14" x14ac:dyDescent="0.2">
      <c r="A300">
        <v>299</v>
      </c>
      <c r="B300">
        <v>101</v>
      </c>
      <c r="C300">
        <v>2</v>
      </c>
      <c r="D300" t="str">
        <f>HLOOKUP(Dados!C300,'Variáveis e códigos'!$C$4:$F$5,2,FALSE)</f>
        <v>Feminino</v>
      </c>
      <c r="E300">
        <v>8</v>
      </c>
      <c r="F300">
        <v>1</v>
      </c>
      <c r="G300">
        <v>1</v>
      </c>
      <c r="H300">
        <v>0</v>
      </c>
      <c r="I300">
        <v>0</v>
      </c>
      <c r="J300">
        <v>2</v>
      </c>
      <c r="K300">
        <v>0</v>
      </c>
      <c r="L300">
        <v>0</v>
      </c>
      <c r="M300">
        <v>0</v>
      </c>
      <c r="N300">
        <v>10</v>
      </c>
    </row>
    <row r="301" spans="1:14" x14ac:dyDescent="0.2">
      <c r="A301">
        <v>300</v>
      </c>
      <c r="B301">
        <v>101</v>
      </c>
      <c r="C301">
        <v>2</v>
      </c>
      <c r="D301" t="str">
        <f>HLOOKUP(Dados!C301,'Variáveis e códigos'!$C$4:$F$5,2,FALSE)</f>
        <v>Feminino</v>
      </c>
      <c r="E301">
        <v>9</v>
      </c>
      <c r="F301">
        <v>1</v>
      </c>
      <c r="G301">
        <v>2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8</v>
      </c>
    </row>
    <row r="302" spans="1:14" x14ac:dyDescent="0.2">
      <c r="A302">
        <v>301</v>
      </c>
      <c r="B302">
        <v>101</v>
      </c>
      <c r="C302">
        <v>2</v>
      </c>
      <c r="D302" t="str">
        <f>HLOOKUP(Dados!C302,'Variáveis e códigos'!$C$4:$F$5,2,FALSE)</f>
        <v>Feminino</v>
      </c>
      <c r="E302">
        <v>9</v>
      </c>
      <c r="F302">
        <v>1</v>
      </c>
      <c r="G302">
        <v>3</v>
      </c>
      <c r="H302">
        <v>0</v>
      </c>
      <c r="I302">
        <v>0</v>
      </c>
      <c r="J302">
        <v>1</v>
      </c>
      <c r="K302">
        <v>0</v>
      </c>
      <c r="L302">
        <v>0</v>
      </c>
      <c r="M302">
        <v>1</v>
      </c>
      <c r="N302">
        <v>8</v>
      </c>
    </row>
    <row r="303" spans="1:14" x14ac:dyDescent="0.2">
      <c r="A303">
        <v>302</v>
      </c>
      <c r="B303">
        <v>101</v>
      </c>
      <c r="C303">
        <v>2</v>
      </c>
      <c r="D303" t="str">
        <f>HLOOKUP(Dados!C303,'Variáveis e códigos'!$C$4:$F$5,2,FALSE)</f>
        <v>Feminino</v>
      </c>
      <c r="E303">
        <v>7</v>
      </c>
      <c r="F303">
        <v>1</v>
      </c>
      <c r="G303">
        <v>3</v>
      </c>
      <c r="H303">
        <v>1</v>
      </c>
      <c r="I303">
        <v>0</v>
      </c>
      <c r="J303">
        <v>2</v>
      </c>
      <c r="K303">
        <v>0</v>
      </c>
      <c r="L303">
        <v>0</v>
      </c>
      <c r="M303">
        <v>0</v>
      </c>
      <c r="N303">
        <v>9</v>
      </c>
    </row>
    <row r="304" spans="1:14" x14ac:dyDescent="0.2">
      <c r="A304">
        <v>303</v>
      </c>
      <c r="B304">
        <v>101</v>
      </c>
      <c r="C304">
        <v>2</v>
      </c>
      <c r="D304" t="str">
        <f>HLOOKUP(Dados!C304,'Variáveis e códigos'!$C$4:$F$5,2,FALSE)</f>
        <v>Feminino</v>
      </c>
      <c r="E304">
        <v>8</v>
      </c>
      <c r="F304">
        <v>1</v>
      </c>
      <c r="G304">
        <v>1</v>
      </c>
      <c r="H304">
        <v>0</v>
      </c>
      <c r="I304">
        <v>0</v>
      </c>
      <c r="J304">
        <v>2</v>
      </c>
      <c r="K304">
        <v>0</v>
      </c>
      <c r="L304">
        <v>2</v>
      </c>
      <c r="M304">
        <v>1</v>
      </c>
      <c r="N304">
        <v>8</v>
      </c>
    </row>
    <row r="305" spans="1:14" x14ac:dyDescent="0.2">
      <c r="A305">
        <v>304</v>
      </c>
      <c r="B305">
        <v>101</v>
      </c>
      <c r="C305">
        <v>2</v>
      </c>
      <c r="D305" t="str">
        <f>HLOOKUP(Dados!C305,'Variáveis e códigos'!$C$4:$F$5,2,FALSE)</f>
        <v>Feminino</v>
      </c>
      <c r="E305">
        <v>9</v>
      </c>
      <c r="F305">
        <v>1</v>
      </c>
      <c r="G305">
        <v>2</v>
      </c>
      <c r="H305">
        <v>0</v>
      </c>
      <c r="I305">
        <v>0</v>
      </c>
      <c r="J305">
        <v>2</v>
      </c>
      <c r="K305">
        <v>0</v>
      </c>
      <c r="L305">
        <v>0</v>
      </c>
      <c r="M305">
        <v>0</v>
      </c>
      <c r="N305">
        <v>10</v>
      </c>
    </row>
    <row r="306" spans="1:14" x14ac:dyDescent="0.2">
      <c r="A306">
        <v>305</v>
      </c>
      <c r="B306">
        <v>101</v>
      </c>
      <c r="C306">
        <v>1</v>
      </c>
      <c r="D306" t="str">
        <f>HLOOKUP(Dados!C306,'Variáveis e códigos'!$C$4:$F$5,2,FALSE)</f>
        <v>Masculino</v>
      </c>
      <c r="E306">
        <v>10</v>
      </c>
      <c r="F306">
        <v>1</v>
      </c>
      <c r="G306">
        <v>2</v>
      </c>
      <c r="H306">
        <v>1</v>
      </c>
      <c r="I306">
        <v>1</v>
      </c>
      <c r="J306">
        <v>1</v>
      </c>
      <c r="K306">
        <v>0</v>
      </c>
      <c r="L306">
        <v>0</v>
      </c>
      <c r="M306">
        <v>0</v>
      </c>
      <c r="N306">
        <v>7</v>
      </c>
    </row>
    <row r="307" spans="1:14" x14ac:dyDescent="0.2">
      <c r="A307">
        <v>306</v>
      </c>
      <c r="B307">
        <v>101</v>
      </c>
      <c r="C307">
        <v>2</v>
      </c>
      <c r="D307" t="str">
        <f>HLOOKUP(Dados!C307,'Variáveis e códigos'!$C$4:$F$5,2,FALSE)</f>
        <v>Feminino</v>
      </c>
      <c r="E307">
        <v>7</v>
      </c>
      <c r="F307">
        <v>1</v>
      </c>
      <c r="G307">
        <v>3</v>
      </c>
      <c r="H307">
        <v>1</v>
      </c>
      <c r="I307">
        <v>1</v>
      </c>
      <c r="J307">
        <v>1</v>
      </c>
      <c r="K307">
        <v>0</v>
      </c>
      <c r="L307">
        <v>0</v>
      </c>
      <c r="M307">
        <v>99</v>
      </c>
      <c r="N307">
        <v>8</v>
      </c>
    </row>
    <row r="308" spans="1:14" x14ac:dyDescent="0.2">
      <c r="A308">
        <v>307</v>
      </c>
      <c r="B308">
        <v>101</v>
      </c>
      <c r="C308">
        <v>2</v>
      </c>
      <c r="D308" t="str">
        <f>HLOOKUP(Dados!C308,'Variáveis e códigos'!$C$4:$F$5,2,FALSE)</f>
        <v>Feminino</v>
      </c>
      <c r="E308">
        <v>7</v>
      </c>
      <c r="F308">
        <v>1</v>
      </c>
      <c r="G308">
        <v>1</v>
      </c>
      <c r="H308">
        <v>2</v>
      </c>
      <c r="I308">
        <v>0</v>
      </c>
      <c r="J308">
        <v>2</v>
      </c>
      <c r="K308">
        <v>0</v>
      </c>
      <c r="L308">
        <v>0</v>
      </c>
      <c r="M308">
        <v>0</v>
      </c>
      <c r="N308">
        <v>9</v>
      </c>
    </row>
    <row r="309" spans="1:14" x14ac:dyDescent="0.2">
      <c r="A309">
        <v>308</v>
      </c>
      <c r="B309">
        <v>101</v>
      </c>
      <c r="C309">
        <v>1</v>
      </c>
      <c r="D309" t="str">
        <f>HLOOKUP(Dados!C309,'Variáveis e códigos'!$C$4:$F$5,2,FALSE)</f>
        <v>Masculino</v>
      </c>
      <c r="E309">
        <v>9</v>
      </c>
      <c r="F309">
        <v>1</v>
      </c>
      <c r="G309">
        <v>2</v>
      </c>
      <c r="H309">
        <v>1</v>
      </c>
      <c r="I309">
        <v>2</v>
      </c>
      <c r="J309">
        <v>1</v>
      </c>
      <c r="K309">
        <v>1</v>
      </c>
      <c r="L309">
        <v>0</v>
      </c>
      <c r="M309">
        <v>0</v>
      </c>
      <c r="N309">
        <v>8</v>
      </c>
    </row>
    <row r="310" spans="1:14" x14ac:dyDescent="0.2">
      <c r="A310">
        <v>309</v>
      </c>
      <c r="B310">
        <v>101</v>
      </c>
      <c r="C310">
        <v>2</v>
      </c>
      <c r="D310" t="str">
        <f>HLOOKUP(Dados!C310,'Variáveis e códigos'!$C$4:$F$5,2,FALSE)</f>
        <v>Feminino</v>
      </c>
      <c r="E310">
        <v>6</v>
      </c>
      <c r="F310">
        <v>1</v>
      </c>
      <c r="G310">
        <v>1</v>
      </c>
      <c r="H310">
        <v>0</v>
      </c>
      <c r="I310">
        <v>0</v>
      </c>
      <c r="J310">
        <v>0</v>
      </c>
      <c r="K310">
        <v>0</v>
      </c>
      <c r="L310">
        <v>1</v>
      </c>
      <c r="M310">
        <v>0</v>
      </c>
      <c r="N310">
        <v>7</v>
      </c>
    </row>
    <row r="311" spans="1:14" x14ac:dyDescent="0.2">
      <c r="A311">
        <v>310</v>
      </c>
      <c r="B311">
        <v>101</v>
      </c>
      <c r="C311">
        <v>1</v>
      </c>
      <c r="D311" t="str">
        <f>HLOOKUP(Dados!C311,'Variáveis e códigos'!$C$4:$F$5,2,FALSE)</f>
        <v>Masculino</v>
      </c>
      <c r="E311">
        <v>8</v>
      </c>
      <c r="F311">
        <v>1</v>
      </c>
      <c r="G311">
        <v>2</v>
      </c>
      <c r="H311">
        <v>0</v>
      </c>
      <c r="I311">
        <v>0</v>
      </c>
      <c r="J311">
        <v>2</v>
      </c>
      <c r="K311">
        <v>0</v>
      </c>
      <c r="L311">
        <v>0</v>
      </c>
      <c r="M311">
        <v>0</v>
      </c>
      <c r="N311">
        <v>10</v>
      </c>
    </row>
    <row r="312" spans="1:14" x14ac:dyDescent="0.2">
      <c r="A312">
        <v>311</v>
      </c>
      <c r="B312">
        <v>101</v>
      </c>
      <c r="C312">
        <v>1</v>
      </c>
      <c r="D312" t="str">
        <f>HLOOKUP(Dados!C312,'Variáveis e códigos'!$C$4:$F$5,2,FALSE)</f>
        <v>Masculino</v>
      </c>
      <c r="E312">
        <v>6</v>
      </c>
      <c r="F312">
        <v>1</v>
      </c>
      <c r="G312">
        <v>2</v>
      </c>
      <c r="H312">
        <v>0</v>
      </c>
      <c r="I312">
        <v>0</v>
      </c>
      <c r="J312">
        <v>2</v>
      </c>
      <c r="K312">
        <v>0</v>
      </c>
      <c r="L312">
        <v>0</v>
      </c>
      <c r="M312">
        <v>0</v>
      </c>
      <c r="N312">
        <v>10</v>
      </c>
    </row>
    <row r="313" spans="1:14" x14ac:dyDescent="0.2">
      <c r="A313">
        <v>312</v>
      </c>
      <c r="B313">
        <v>101</v>
      </c>
      <c r="C313">
        <v>2</v>
      </c>
      <c r="D313" t="str">
        <f>HLOOKUP(Dados!C313,'Variáveis e códigos'!$C$4:$F$5,2,FALSE)</f>
        <v>Feminino</v>
      </c>
      <c r="E313">
        <v>6</v>
      </c>
      <c r="F313">
        <v>1</v>
      </c>
      <c r="G313">
        <v>3</v>
      </c>
      <c r="H313">
        <v>1</v>
      </c>
      <c r="I313">
        <v>1</v>
      </c>
      <c r="J313">
        <v>1</v>
      </c>
      <c r="K313">
        <v>1</v>
      </c>
      <c r="L313">
        <v>1</v>
      </c>
      <c r="M313">
        <v>1</v>
      </c>
      <c r="N313">
        <v>7</v>
      </c>
    </row>
    <row r="314" spans="1:14" x14ac:dyDescent="0.2">
      <c r="A314">
        <v>313</v>
      </c>
      <c r="B314">
        <v>101</v>
      </c>
      <c r="C314">
        <v>1</v>
      </c>
      <c r="D314" t="str">
        <f>HLOOKUP(Dados!C314,'Variáveis e códigos'!$C$4:$F$5,2,FALSE)</f>
        <v>Masculino</v>
      </c>
      <c r="E314">
        <v>9</v>
      </c>
      <c r="F314">
        <v>1</v>
      </c>
      <c r="G314">
        <v>1</v>
      </c>
      <c r="H314">
        <v>2</v>
      </c>
      <c r="I314">
        <v>1</v>
      </c>
      <c r="J314">
        <v>2</v>
      </c>
      <c r="K314">
        <v>1</v>
      </c>
      <c r="L314">
        <v>2</v>
      </c>
      <c r="M314">
        <v>2</v>
      </c>
      <c r="N314">
        <v>8</v>
      </c>
    </row>
    <row r="315" spans="1:14" x14ac:dyDescent="0.2">
      <c r="A315">
        <v>314</v>
      </c>
      <c r="B315">
        <v>101</v>
      </c>
      <c r="C315">
        <v>1</v>
      </c>
      <c r="D315" t="str">
        <f>HLOOKUP(Dados!C315,'Variáveis e códigos'!$C$4:$F$5,2,FALSE)</f>
        <v>Masculino</v>
      </c>
      <c r="E315">
        <v>8</v>
      </c>
      <c r="F315">
        <v>1</v>
      </c>
      <c r="G315">
        <v>3</v>
      </c>
      <c r="H315">
        <v>0</v>
      </c>
      <c r="I315">
        <v>0</v>
      </c>
      <c r="J315">
        <v>2</v>
      </c>
      <c r="K315">
        <v>0</v>
      </c>
      <c r="L315">
        <v>0</v>
      </c>
      <c r="M315">
        <v>0</v>
      </c>
      <c r="N315">
        <v>10</v>
      </c>
    </row>
    <row r="316" spans="1:14" x14ac:dyDescent="0.2">
      <c r="A316">
        <v>315</v>
      </c>
      <c r="B316">
        <v>101</v>
      </c>
      <c r="C316">
        <v>1</v>
      </c>
      <c r="D316" t="str">
        <f>HLOOKUP(Dados!C316,'Variáveis e códigos'!$C$4:$F$5,2,FALSE)</f>
        <v>Masculino</v>
      </c>
      <c r="E316">
        <v>8</v>
      </c>
      <c r="F316">
        <v>1</v>
      </c>
      <c r="G316">
        <v>2</v>
      </c>
      <c r="H316">
        <v>2</v>
      </c>
      <c r="I316">
        <v>1</v>
      </c>
      <c r="J316">
        <v>1</v>
      </c>
      <c r="K316">
        <v>1</v>
      </c>
      <c r="L316">
        <v>0</v>
      </c>
      <c r="M316">
        <v>0</v>
      </c>
      <c r="N316">
        <v>7</v>
      </c>
    </row>
    <row r="317" spans="1:14" x14ac:dyDescent="0.2">
      <c r="A317">
        <v>316</v>
      </c>
      <c r="B317">
        <v>101</v>
      </c>
      <c r="C317">
        <v>2</v>
      </c>
      <c r="D317" t="str">
        <f>HLOOKUP(Dados!C317,'Variáveis e códigos'!$C$4:$F$5,2,FALSE)</f>
        <v>Feminino</v>
      </c>
      <c r="E317">
        <v>3</v>
      </c>
      <c r="F317">
        <v>0</v>
      </c>
      <c r="G317">
        <v>2</v>
      </c>
      <c r="H317">
        <v>0</v>
      </c>
      <c r="I317">
        <v>0</v>
      </c>
      <c r="J317">
        <v>2</v>
      </c>
      <c r="K317">
        <v>0</v>
      </c>
      <c r="L317">
        <v>0</v>
      </c>
      <c r="M317">
        <v>0</v>
      </c>
      <c r="N317">
        <v>9</v>
      </c>
    </row>
    <row r="318" spans="1:14" x14ac:dyDescent="0.2">
      <c r="A318">
        <v>317</v>
      </c>
      <c r="B318">
        <v>101</v>
      </c>
      <c r="C318">
        <v>2</v>
      </c>
      <c r="D318" t="str">
        <f>HLOOKUP(Dados!C318,'Variáveis e códigos'!$C$4:$F$5,2,FALSE)</f>
        <v>Feminino</v>
      </c>
      <c r="E318">
        <v>9</v>
      </c>
      <c r="F318">
        <v>1</v>
      </c>
      <c r="G318">
        <v>3</v>
      </c>
      <c r="H318">
        <v>0</v>
      </c>
      <c r="I318">
        <v>1</v>
      </c>
      <c r="J318">
        <v>2</v>
      </c>
      <c r="K318">
        <v>2</v>
      </c>
      <c r="L318">
        <v>99</v>
      </c>
      <c r="M318">
        <v>0</v>
      </c>
      <c r="N318">
        <v>8</v>
      </c>
    </row>
    <row r="319" spans="1:14" x14ac:dyDescent="0.2">
      <c r="A319">
        <v>318</v>
      </c>
      <c r="B319">
        <v>101</v>
      </c>
      <c r="C319">
        <v>2</v>
      </c>
      <c r="D319" t="str">
        <f>HLOOKUP(Dados!C319,'Variáveis e códigos'!$C$4:$F$5,2,FALSE)</f>
        <v>Feminino</v>
      </c>
      <c r="E319">
        <v>3</v>
      </c>
      <c r="F319">
        <v>0</v>
      </c>
      <c r="G319">
        <v>1</v>
      </c>
      <c r="H319">
        <v>2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9</v>
      </c>
    </row>
    <row r="320" spans="1:14" x14ac:dyDescent="0.2">
      <c r="A320">
        <v>319</v>
      </c>
      <c r="B320">
        <v>101</v>
      </c>
      <c r="C320">
        <v>1</v>
      </c>
      <c r="D320" t="str">
        <f>HLOOKUP(Dados!C320,'Variáveis e códigos'!$C$4:$F$5,2,FALSE)</f>
        <v>Masculino</v>
      </c>
      <c r="E320">
        <v>7</v>
      </c>
      <c r="F320">
        <v>1</v>
      </c>
      <c r="G320">
        <v>2</v>
      </c>
      <c r="H320">
        <v>1</v>
      </c>
      <c r="I320">
        <v>1</v>
      </c>
      <c r="J320">
        <v>1</v>
      </c>
      <c r="K320">
        <v>1</v>
      </c>
      <c r="L320">
        <v>1</v>
      </c>
      <c r="M320">
        <v>1</v>
      </c>
      <c r="N320">
        <v>8</v>
      </c>
    </row>
    <row r="321" spans="1:14" x14ac:dyDescent="0.2">
      <c r="A321">
        <v>320</v>
      </c>
      <c r="B321">
        <v>101</v>
      </c>
      <c r="C321">
        <v>2</v>
      </c>
      <c r="D321" t="str">
        <f>HLOOKUP(Dados!C321,'Variáveis e códigos'!$C$4:$F$5,2,FALSE)</f>
        <v>Feminino</v>
      </c>
      <c r="E321">
        <v>8</v>
      </c>
      <c r="F321">
        <v>1</v>
      </c>
      <c r="G321">
        <v>2</v>
      </c>
      <c r="H321">
        <v>2</v>
      </c>
      <c r="I321">
        <v>2</v>
      </c>
      <c r="J321">
        <v>0</v>
      </c>
      <c r="K321">
        <v>0</v>
      </c>
      <c r="L321">
        <v>0</v>
      </c>
      <c r="M321">
        <v>2</v>
      </c>
      <c r="N321">
        <v>7</v>
      </c>
    </row>
    <row r="322" spans="1:14" x14ac:dyDescent="0.2">
      <c r="A322">
        <v>321</v>
      </c>
      <c r="B322">
        <v>101</v>
      </c>
      <c r="C322">
        <v>1</v>
      </c>
      <c r="D322" t="str">
        <f>HLOOKUP(Dados!C322,'Variáveis e códigos'!$C$4:$F$5,2,FALSE)</f>
        <v>Masculino</v>
      </c>
      <c r="E322">
        <v>8</v>
      </c>
      <c r="F322">
        <v>1</v>
      </c>
      <c r="G322">
        <v>1</v>
      </c>
      <c r="H322">
        <v>0</v>
      </c>
      <c r="I322">
        <v>0</v>
      </c>
      <c r="J322">
        <v>2</v>
      </c>
      <c r="K322">
        <v>0</v>
      </c>
      <c r="L322">
        <v>0</v>
      </c>
      <c r="M322">
        <v>1</v>
      </c>
      <c r="N322">
        <v>9</v>
      </c>
    </row>
    <row r="323" spans="1:14" x14ac:dyDescent="0.2">
      <c r="A323">
        <v>322</v>
      </c>
      <c r="B323">
        <v>101</v>
      </c>
      <c r="C323">
        <v>1</v>
      </c>
      <c r="D323" t="str">
        <f>HLOOKUP(Dados!C323,'Variáveis e códigos'!$C$4:$F$5,2,FALSE)</f>
        <v>Masculino</v>
      </c>
      <c r="E323">
        <v>9</v>
      </c>
      <c r="F323">
        <v>1</v>
      </c>
      <c r="G323">
        <v>3</v>
      </c>
      <c r="H323">
        <v>2</v>
      </c>
      <c r="I323">
        <v>0</v>
      </c>
      <c r="J323">
        <v>2</v>
      </c>
      <c r="K323">
        <v>0</v>
      </c>
      <c r="L323">
        <v>0</v>
      </c>
      <c r="M323">
        <v>1</v>
      </c>
      <c r="N323">
        <v>7</v>
      </c>
    </row>
    <row r="324" spans="1:14" x14ac:dyDescent="0.2">
      <c r="A324">
        <v>323</v>
      </c>
      <c r="B324">
        <v>101</v>
      </c>
      <c r="C324">
        <v>1</v>
      </c>
      <c r="D324" t="str">
        <f>HLOOKUP(Dados!C324,'Variáveis e códigos'!$C$4:$F$5,2,FALSE)</f>
        <v>Masculino</v>
      </c>
      <c r="E324">
        <v>7</v>
      </c>
      <c r="F324">
        <v>1</v>
      </c>
      <c r="G324">
        <v>1</v>
      </c>
      <c r="H324">
        <v>2</v>
      </c>
      <c r="I324">
        <v>0</v>
      </c>
      <c r="J324">
        <v>2</v>
      </c>
      <c r="K324">
        <v>0</v>
      </c>
      <c r="L324">
        <v>1</v>
      </c>
      <c r="M324">
        <v>2</v>
      </c>
      <c r="N324">
        <v>8</v>
      </c>
    </row>
    <row r="325" spans="1:14" x14ac:dyDescent="0.2">
      <c r="A325">
        <v>324</v>
      </c>
      <c r="B325">
        <v>101</v>
      </c>
      <c r="C325">
        <v>1</v>
      </c>
      <c r="D325" t="str">
        <f>HLOOKUP(Dados!C325,'Variáveis e códigos'!$C$4:$F$5,2,FALSE)</f>
        <v>Masculino</v>
      </c>
      <c r="E325">
        <v>6</v>
      </c>
      <c r="F325">
        <v>1</v>
      </c>
      <c r="G325">
        <v>3</v>
      </c>
      <c r="H325">
        <v>1</v>
      </c>
      <c r="I325">
        <v>0</v>
      </c>
      <c r="J325">
        <v>2</v>
      </c>
      <c r="K325">
        <v>0</v>
      </c>
      <c r="L325">
        <v>0</v>
      </c>
      <c r="M325">
        <v>1</v>
      </c>
      <c r="N325">
        <v>10</v>
      </c>
    </row>
    <row r="326" spans="1:14" x14ac:dyDescent="0.2">
      <c r="A326">
        <v>325</v>
      </c>
      <c r="B326">
        <v>101</v>
      </c>
      <c r="C326">
        <v>1</v>
      </c>
      <c r="D326" t="str">
        <f>HLOOKUP(Dados!C326,'Variáveis e códigos'!$C$4:$F$5,2,FALSE)</f>
        <v>Masculino</v>
      </c>
      <c r="E326">
        <v>6</v>
      </c>
      <c r="F326">
        <v>1</v>
      </c>
      <c r="G326">
        <v>99</v>
      </c>
      <c r="H326">
        <v>1</v>
      </c>
      <c r="I326">
        <v>0</v>
      </c>
      <c r="J326">
        <v>1</v>
      </c>
      <c r="K326">
        <v>1</v>
      </c>
      <c r="L326">
        <v>0</v>
      </c>
      <c r="M326">
        <v>1</v>
      </c>
      <c r="N326">
        <v>9</v>
      </c>
    </row>
    <row r="327" spans="1:14" x14ac:dyDescent="0.2">
      <c r="A327">
        <v>326</v>
      </c>
      <c r="B327">
        <v>101</v>
      </c>
      <c r="C327">
        <v>1</v>
      </c>
      <c r="D327" t="str">
        <f>HLOOKUP(Dados!C327,'Variáveis e códigos'!$C$4:$F$5,2,FALSE)</f>
        <v>Masculino</v>
      </c>
      <c r="E327">
        <v>8</v>
      </c>
      <c r="F327">
        <v>1</v>
      </c>
      <c r="G327">
        <v>3</v>
      </c>
      <c r="H327">
        <v>1</v>
      </c>
      <c r="I327">
        <v>1</v>
      </c>
      <c r="J327">
        <v>1</v>
      </c>
      <c r="K327">
        <v>0</v>
      </c>
      <c r="L327">
        <v>0</v>
      </c>
      <c r="M327">
        <v>0</v>
      </c>
      <c r="N327">
        <v>8</v>
      </c>
    </row>
    <row r="328" spans="1:14" x14ac:dyDescent="0.2">
      <c r="A328">
        <v>327</v>
      </c>
      <c r="B328">
        <v>101</v>
      </c>
      <c r="C328">
        <v>2</v>
      </c>
      <c r="D328" t="str">
        <f>HLOOKUP(Dados!C328,'Variáveis e códigos'!$C$4:$F$5,2,FALSE)</f>
        <v>Feminino</v>
      </c>
      <c r="E328">
        <v>8</v>
      </c>
      <c r="F328">
        <v>1</v>
      </c>
      <c r="G328">
        <v>2</v>
      </c>
      <c r="H328">
        <v>0</v>
      </c>
      <c r="I328">
        <v>0</v>
      </c>
      <c r="J328">
        <v>2</v>
      </c>
      <c r="K328">
        <v>0</v>
      </c>
      <c r="L328">
        <v>0</v>
      </c>
      <c r="M328">
        <v>1</v>
      </c>
      <c r="N328">
        <v>99</v>
      </c>
    </row>
    <row r="329" spans="1:14" x14ac:dyDescent="0.2">
      <c r="A329">
        <v>328</v>
      </c>
      <c r="B329">
        <v>101</v>
      </c>
      <c r="C329">
        <v>1</v>
      </c>
      <c r="D329" t="str">
        <f>HLOOKUP(Dados!C329,'Variáveis e códigos'!$C$4:$F$5,2,FALSE)</f>
        <v>Masculino</v>
      </c>
      <c r="E329">
        <v>8</v>
      </c>
      <c r="F329">
        <v>1</v>
      </c>
      <c r="G329">
        <v>3</v>
      </c>
      <c r="H329">
        <v>2</v>
      </c>
      <c r="I329">
        <v>1</v>
      </c>
      <c r="J329">
        <v>1</v>
      </c>
      <c r="K329">
        <v>1</v>
      </c>
      <c r="L329">
        <v>0</v>
      </c>
      <c r="M329">
        <v>0</v>
      </c>
      <c r="N329">
        <v>9</v>
      </c>
    </row>
    <row r="330" spans="1:14" x14ac:dyDescent="0.2">
      <c r="A330">
        <v>329</v>
      </c>
      <c r="B330">
        <v>101</v>
      </c>
      <c r="C330">
        <v>2</v>
      </c>
      <c r="D330" t="str">
        <f>HLOOKUP(Dados!C330,'Variáveis e códigos'!$C$4:$F$5,2,FALSE)</f>
        <v>Feminino</v>
      </c>
      <c r="E330">
        <v>9</v>
      </c>
      <c r="F330">
        <v>1</v>
      </c>
      <c r="G330">
        <v>2</v>
      </c>
      <c r="H330">
        <v>0</v>
      </c>
      <c r="I330">
        <v>0</v>
      </c>
      <c r="J330">
        <v>2</v>
      </c>
      <c r="K330">
        <v>0</v>
      </c>
      <c r="L330">
        <v>0</v>
      </c>
      <c r="M330">
        <v>0</v>
      </c>
      <c r="N330">
        <v>8</v>
      </c>
    </row>
    <row r="331" spans="1:14" x14ac:dyDescent="0.2">
      <c r="A331">
        <v>330</v>
      </c>
      <c r="B331">
        <v>101</v>
      </c>
      <c r="C331">
        <v>1</v>
      </c>
      <c r="D331" t="str">
        <f>HLOOKUP(Dados!C331,'Variáveis e códigos'!$C$4:$F$5,2,FALSE)</f>
        <v>Masculino</v>
      </c>
      <c r="E331">
        <v>9</v>
      </c>
      <c r="F331">
        <v>1</v>
      </c>
      <c r="G331">
        <v>2</v>
      </c>
      <c r="H331">
        <v>2</v>
      </c>
      <c r="I331">
        <v>1</v>
      </c>
      <c r="J331">
        <v>2</v>
      </c>
      <c r="K331">
        <v>0</v>
      </c>
      <c r="L331">
        <v>0</v>
      </c>
      <c r="M331">
        <v>0</v>
      </c>
      <c r="N331">
        <v>9</v>
      </c>
    </row>
    <row r="332" spans="1:14" x14ac:dyDescent="0.2">
      <c r="A332">
        <v>331</v>
      </c>
      <c r="B332">
        <v>101</v>
      </c>
      <c r="C332">
        <v>2</v>
      </c>
      <c r="D332" t="str">
        <f>HLOOKUP(Dados!C332,'Variáveis e códigos'!$C$4:$F$5,2,FALSE)</f>
        <v>Feminino</v>
      </c>
      <c r="E332">
        <v>6</v>
      </c>
      <c r="F332">
        <v>1</v>
      </c>
      <c r="G332">
        <v>3</v>
      </c>
      <c r="H332">
        <v>1</v>
      </c>
      <c r="I332">
        <v>1</v>
      </c>
      <c r="J332">
        <v>2</v>
      </c>
      <c r="K332">
        <v>0</v>
      </c>
      <c r="L332">
        <v>0</v>
      </c>
      <c r="M332">
        <v>0</v>
      </c>
      <c r="N332">
        <v>8</v>
      </c>
    </row>
    <row r="333" spans="1:14" x14ac:dyDescent="0.2">
      <c r="A333">
        <v>332</v>
      </c>
      <c r="B333">
        <v>101</v>
      </c>
      <c r="C333">
        <v>1</v>
      </c>
      <c r="D333" t="str">
        <f>HLOOKUP(Dados!C333,'Variáveis e códigos'!$C$4:$F$5,2,FALSE)</f>
        <v>Masculino</v>
      </c>
      <c r="E333">
        <v>7</v>
      </c>
      <c r="F333">
        <v>1</v>
      </c>
      <c r="G333">
        <v>2</v>
      </c>
      <c r="H333">
        <v>2</v>
      </c>
      <c r="I333">
        <v>1</v>
      </c>
      <c r="J333">
        <v>1</v>
      </c>
      <c r="K333">
        <v>0</v>
      </c>
      <c r="L333">
        <v>1</v>
      </c>
      <c r="M333">
        <v>1</v>
      </c>
      <c r="N333">
        <v>8</v>
      </c>
    </row>
    <row r="334" spans="1:14" x14ac:dyDescent="0.2">
      <c r="A334">
        <v>333</v>
      </c>
      <c r="B334">
        <v>101</v>
      </c>
      <c r="C334">
        <v>1</v>
      </c>
      <c r="D334" t="str">
        <f>HLOOKUP(Dados!C334,'Variáveis e códigos'!$C$4:$F$5,2,FALSE)</f>
        <v>Masculino</v>
      </c>
      <c r="E334">
        <v>9</v>
      </c>
      <c r="F334">
        <v>1</v>
      </c>
      <c r="G334">
        <v>2</v>
      </c>
      <c r="H334">
        <v>2</v>
      </c>
      <c r="I334">
        <v>1</v>
      </c>
      <c r="J334">
        <v>2</v>
      </c>
      <c r="K334">
        <v>1</v>
      </c>
      <c r="L334">
        <v>0</v>
      </c>
      <c r="M334">
        <v>1</v>
      </c>
      <c r="N334">
        <v>8</v>
      </c>
    </row>
    <row r="335" spans="1:14" x14ac:dyDescent="0.2">
      <c r="A335">
        <v>334</v>
      </c>
      <c r="B335">
        <v>101</v>
      </c>
      <c r="C335">
        <v>2</v>
      </c>
      <c r="D335" t="str">
        <f>HLOOKUP(Dados!C335,'Variáveis e códigos'!$C$4:$F$5,2,FALSE)</f>
        <v>Feminino</v>
      </c>
      <c r="E335">
        <v>9</v>
      </c>
      <c r="F335">
        <v>1</v>
      </c>
      <c r="G335">
        <v>2</v>
      </c>
      <c r="H335">
        <v>1</v>
      </c>
      <c r="I335">
        <v>0</v>
      </c>
      <c r="J335">
        <v>2</v>
      </c>
      <c r="K335">
        <v>0</v>
      </c>
      <c r="L335">
        <v>2</v>
      </c>
      <c r="M335">
        <v>1</v>
      </c>
      <c r="N335">
        <v>8</v>
      </c>
    </row>
    <row r="336" spans="1:14" x14ac:dyDescent="0.2">
      <c r="A336">
        <v>335</v>
      </c>
      <c r="B336">
        <v>101</v>
      </c>
      <c r="C336">
        <v>2</v>
      </c>
      <c r="D336" t="str">
        <f>HLOOKUP(Dados!C336,'Variáveis e códigos'!$C$4:$F$5,2,FALSE)</f>
        <v>Feminino</v>
      </c>
      <c r="E336">
        <v>7</v>
      </c>
      <c r="F336">
        <v>1</v>
      </c>
      <c r="G336">
        <v>1</v>
      </c>
      <c r="H336">
        <v>0</v>
      </c>
      <c r="I336">
        <v>0</v>
      </c>
      <c r="J336">
        <v>2</v>
      </c>
      <c r="K336">
        <v>0</v>
      </c>
      <c r="L336">
        <v>1</v>
      </c>
      <c r="M336">
        <v>1</v>
      </c>
      <c r="N336">
        <v>8</v>
      </c>
    </row>
    <row r="337" spans="1:14" x14ac:dyDescent="0.2">
      <c r="A337">
        <v>336</v>
      </c>
      <c r="B337">
        <v>101</v>
      </c>
      <c r="C337">
        <v>1</v>
      </c>
      <c r="D337" t="str">
        <f>HLOOKUP(Dados!C337,'Variáveis e códigos'!$C$4:$F$5,2,FALSE)</f>
        <v>Masculino</v>
      </c>
      <c r="E337">
        <v>7</v>
      </c>
      <c r="F337">
        <v>1</v>
      </c>
      <c r="G337">
        <v>2</v>
      </c>
      <c r="H337">
        <v>2</v>
      </c>
      <c r="I337">
        <v>2</v>
      </c>
      <c r="J337">
        <v>1</v>
      </c>
      <c r="K337">
        <v>1</v>
      </c>
      <c r="L337">
        <v>1</v>
      </c>
      <c r="M337">
        <v>0</v>
      </c>
      <c r="N337">
        <v>8</v>
      </c>
    </row>
    <row r="338" spans="1:14" x14ac:dyDescent="0.2">
      <c r="A338">
        <v>337</v>
      </c>
      <c r="B338">
        <v>101</v>
      </c>
      <c r="C338">
        <v>1</v>
      </c>
      <c r="D338" t="str">
        <f>HLOOKUP(Dados!C338,'Variáveis e códigos'!$C$4:$F$5,2,FALSE)</f>
        <v>Masculino</v>
      </c>
      <c r="E338">
        <v>8</v>
      </c>
      <c r="F338">
        <v>1</v>
      </c>
      <c r="G338">
        <v>3</v>
      </c>
      <c r="H338">
        <v>1</v>
      </c>
      <c r="I338">
        <v>0</v>
      </c>
      <c r="J338">
        <v>2</v>
      </c>
      <c r="K338">
        <v>0</v>
      </c>
      <c r="L338">
        <v>0</v>
      </c>
      <c r="M338">
        <v>0</v>
      </c>
      <c r="N338">
        <v>8</v>
      </c>
    </row>
    <row r="339" spans="1:14" x14ac:dyDescent="0.2">
      <c r="A339">
        <v>338</v>
      </c>
      <c r="B339">
        <v>101</v>
      </c>
      <c r="C339">
        <v>1</v>
      </c>
      <c r="D339" t="str">
        <f>HLOOKUP(Dados!C339,'Variáveis e códigos'!$C$4:$F$5,2,FALSE)</f>
        <v>Masculino</v>
      </c>
      <c r="E339">
        <v>10</v>
      </c>
      <c r="F339">
        <v>1</v>
      </c>
      <c r="G339">
        <v>99</v>
      </c>
      <c r="H339">
        <v>0</v>
      </c>
      <c r="I339">
        <v>2</v>
      </c>
      <c r="J339">
        <v>2</v>
      </c>
      <c r="K339">
        <v>0</v>
      </c>
      <c r="L339">
        <v>1</v>
      </c>
      <c r="M339">
        <v>1</v>
      </c>
      <c r="N339">
        <v>7</v>
      </c>
    </row>
    <row r="340" spans="1:14" x14ac:dyDescent="0.2">
      <c r="A340">
        <v>339</v>
      </c>
      <c r="B340">
        <v>101</v>
      </c>
      <c r="C340">
        <v>1</v>
      </c>
      <c r="D340" t="str">
        <f>HLOOKUP(Dados!C340,'Variáveis e códigos'!$C$4:$F$5,2,FALSE)</f>
        <v>Masculino</v>
      </c>
      <c r="E340">
        <v>10</v>
      </c>
      <c r="F340">
        <v>1</v>
      </c>
      <c r="G340">
        <v>1</v>
      </c>
      <c r="H340">
        <v>0</v>
      </c>
      <c r="I340">
        <v>0</v>
      </c>
      <c r="J340">
        <v>1</v>
      </c>
      <c r="K340">
        <v>0</v>
      </c>
      <c r="L340">
        <v>1</v>
      </c>
      <c r="M340">
        <v>0</v>
      </c>
      <c r="N340">
        <v>7</v>
      </c>
    </row>
    <row r="341" spans="1:14" x14ac:dyDescent="0.2">
      <c r="A341">
        <v>340</v>
      </c>
      <c r="B341">
        <v>101</v>
      </c>
      <c r="C341">
        <v>2</v>
      </c>
      <c r="D341" t="str">
        <f>HLOOKUP(Dados!C341,'Variáveis e códigos'!$C$4:$F$5,2,FALSE)</f>
        <v>Feminino</v>
      </c>
      <c r="E341">
        <v>6</v>
      </c>
      <c r="F341">
        <v>1</v>
      </c>
      <c r="G341">
        <v>3</v>
      </c>
      <c r="H341">
        <v>1</v>
      </c>
      <c r="I341">
        <v>0</v>
      </c>
      <c r="J341">
        <v>2</v>
      </c>
      <c r="K341">
        <v>0</v>
      </c>
      <c r="L341">
        <v>1</v>
      </c>
      <c r="M341">
        <v>1</v>
      </c>
      <c r="N341">
        <v>8</v>
      </c>
    </row>
    <row r="342" spans="1:14" x14ac:dyDescent="0.2">
      <c r="A342">
        <v>341</v>
      </c>
      <c r="B342">
        <v>101</v>
      </c>
      <c r="C342">
        <v>1</v>
      </c>
      <c r="D342" t="str">
        <f>HLOOKUP(Dados!C342,'Variáveis e códigos'!$C$4:$F$5,2,FALSE)</f>
        <v>Masculino</v>
      </c>
      <c r="E342">
        <v>8</v>
      </c>
      <c r="F342">
        <v>1</v>
      </c>
      <c r="G342">
        <v>2</v>
      </c>
      <c r="H342">
        <v>0</v>
      </c>
      <c r="I342">
        <v>0</v>
      </c>
      <c r="J342">
        <v>2</v>
      </c>
      <c r="K342">
        <v>0</v>
      </c>
      <c r="L342">
        <v>2</v>
      </c>
      <c r="M342">
        <v>0</v>
      </c>
      <c r="N342">
        <v>8</v>
      </c>
    </row>
    <row r="343" spans="1:14" x14ac:dyDescent="0.2">
      <c r="A343">
        <v>342</v>
      </c>
      <c r="B343">
        <v>101</v>
      </c>
      <c r="C343">
        <v>2</v>
      </c>
      <c r="D343" t="str">
        <f>HLOOKUP(Dados!C343,'Variáveis e códigos'!$C$4:$F$5,2,FALSE)</f>
        <v>Feminino</v>
      </c>
      <c r="E343">
        <v>9</v>
      </c>
      <c r="F343">
        <v>1</v>
      </c>
      <c r="G343">
        <v>2</v>
      </c>
      <c r="H343">
        <v>0</v>
      </c>
      <c r="I343">
        <v>0</v>
      </c>
      <c r="J343">
        <v>2</v>
      </c>
      <c r="K343">
        <v>0</v>
      </c>
      <c r="L343">
        <v>0</v>
      </c>
      <c r="M343">
        <v>0</v>
      </c>
      <c r="N343">
        <v>99</v>
      </c>
    </row>
    <row r="344" spans="1:14" x14ac:dyDescent="0.2">
      <c r="A344">
        <v>343</v>
      </c>
      <c r="B344">
        <v>101</v>
      </c>
      <c r="C344">
        <v>2</v>
      </c>
      <c r="D344" t="str">
        <f>HLOOKUP(Dados!C344,'Variáveis e códigos'!$C$4:$F$5,2,FALSE)</f>
        <v>Feminino</v>
      </c>
      <c r="E344">
        <v>7</v>
      </c>
      <c r="F344">
        <v>1</v>
      </c>
      <c r="G344">
        <v>1</v>
      </c>
      <c r="H344">
        <v>1</v>
      </c>
      <c r="I344">
        <v>0</v>
      </c>
      <c r="J344">
        <v>2</v>
      </c>
      <c r="K344">
        <v>1</v>
      </c>
      <c r="L344">
        <v>0</v>
      </c>
      <c r="M344">
        <v>0</v>
      </c>
      <c r="N344">
        <v>8</v>
      </c>
    </row>
    <row r="345" spans="1:14" x14ac:dyDescent="0.2">
      <c r="A345">
        <v>344</v>
      </c>
      <c r="B345">
        <v>101</v>
      </c>
      <c r="C345">
        <v>4</v>
      </c>
      <c r="D345" t="str">
        <f>HLOOKUP(Dados!C345,'Variáveis e códigos'!$C$4:$F$5,2,FALSE)</f>
        <v>Prefiro não responder</v>
      </c>
      <c r="E345">
        <v>8</v>
      </c>
      <c r="F345">
        <v>1</v>
      </c>
      <c r="G345">
        <v>2</v>
      </c>
      <c r="H345">
        <v>2</v>
      </c>
      <c r="I345">
        <v>2</v>
      </c>
      <c r="J345">
        <v>0</v>
      </c>
      <c r="K345">
        <v>0</v>
      </c>
      <c r="L345">
        <v>0</v>
      </c>
      <c r="M345">
        <v>0</v>
      </c>
      <c r="N345">
        <v>7</v>
      </c>
    </row>
    <row r="346" spans="1:14" x14ac:dyDescent="0.2">
      <c r="A346">
        <v>345</v>
      </c>
      <c r="B346">
        <v>101</v>
      </c>
      <c r="C346">
        <v>1</v>
      </c>
      <c r="D346" t="str">
        <f>HLOOKUP(Dados!C346,'Variáveis e códigos'!$C$4:$F$5,2,FALSE)</f>
        <v>Masculino</v>
      </c>
      <c r="E346">
        <v>7</v>
      </c>
      <c r="F346">
        <v>1</v>
      </c>
      <c r="G346">
        <v>1</v>
      </c>
      <c r="H346">
        <v>0</v>
      </c>
      <c r="I346">
        <v>0</v>
      </c>
      <c r="J346">
        <v>2</v>
      </c>
      <c r="K346">
        <v>0</v>
      </c>
      <c r="L346">
        <v>0</v>
      </c>
      <c r="M346">
        <v>2</v>
      </c>
      <c r="N346">
        <v>8</v>
      </c>
    </row>
    <row r="347" spans="1:14" x14ac:dyDescent="0.2">
      <c r="A347">
        <v>346</v>
      </c>
      <c r="B347">
        <v>101</v>
      </c>
      <c r="C347">
        <v>1</v>
      </c>
      <c r="D347" t="str">
        <f>HLOOKUP(Dados!C347,'Variáveis e códigos'!$C$4:$F$5,2,FALSE)</f>
        <v>Masculino</v>
      </c>
      <c r="E347">
        <v>8</v>
      </c>
      <c r="F347">
        <v>1</v>
      </c>
      <c r="G347">
        <v>99</v>
      </c>
      <c r="H347">
        <v>2</v>
      </c>
      <c r="I347">
        <v>1</v>
      </c>
      <c r="J347">
        <v>1</v>
      </c>
      <c r="K347">
        <v>1</v>
      </c>
      <c r="L347">
        <v>0</v>
      </c>
      <c r="M347">
        <v>1</v>
      </c>
      <c r="N347">
        <v>9</v>
      </c>
    </row>
    <row r="348" spans="1:14" x14ac:dyDescent="0.2">
      <c r="A348">
        <v>347</v>
      </c>
      <c r="B348">
        <v>101</v>
      </c>
      <c r="C348">
        <v>2</v>
      </c>
      <c r="D348" t="str">
        <f>HLOOKUP(Dados!C348,'Variáveis e códigos'!$C$4:$F$5,2,FALSE)</f>
        <v>Feminino</v>
      </c>
      <c r="E348">
        <v>9</v>
      </c>
      <c r="F348">
        <v>1</v>
      </c>
      <c r="G348">
        <v>2</v>
      </c>
      <c r="H348">
        <v>2</v>
      </c>
      <c r="I348">
        <v>0</v>
      </c>
      <c r="J348">
        <v>1</v>
      </c>
      <c r="K348">
        <v>0</v>
      </c>
      <c r="L348">
        <v>0</v>
      </c>
      <c r="M348">
        <v>0</v>
      </c>
      <c r="N348">
        <v>10</v>
      </c>
    </row>
    <row r="349" spans="1:14" x14ac:dyDescent="0.2">
      <c r="A349">
        <v>348</v>
      </c>
      <c r="B349">
        <v>101</v>
      </c>
      <c r="C349">
        <v>1</v>
      </c>
      <c r="D349" t="str">
        <f>HLOOKUP(Dados!C349,'Variáveis e códigos'!$C$4:$F$5,2,FALSE)</f>
        <v>Masculino</v>
      </c>
      <c r="E349">
        <v>5</v>
      </c>
      <c r="F349">
        <v>0</v>
      </c>
      <c r="G349">
        <v>1</v>
      </c>
      <c r="H349">
        <v>2</v>
      </c>
      <c r="I349">
        <v>1</v>
      </c>
      <c r="J349">
        <v>1</v>
      </c>
      <c r="K349">
        <v>2</v>
      </c>
      <c r="L349">
        <v>0</v>
      </c>
      <c r="M349">
        <v>0</v>
      </c>
      <c r="N349">
        <v>7</v>
      </c>
    </row>
    <row r="350" spans="1:14" x14ac:dyDescent="0.2">
      <c r="A350">
        <v>349</v>
      </c>
      <c r="B350">
        <v>101</v>
      </c>
      <c r="C350">
        <v>1</v>
      </c>
      <c r="D350" t="str">
        <f>HLOOKUP(Dados!C350,'Variáveis e códigos'!$C$4:$F$5,2,FALSE)</f>
        <v>Masculino</v>
      </c>
      <c r="E350">
        <v>9</v>
      </c>
      <c r="F350">
        <v>1</v>
      </c>
      <c r="G350">
        <v>3</v>
      </c>
      <c r="H350">
        <v>1</v>
      </c>
      <c r="I350">
        <v>1</v>
      </c>
      <c r="J350">
        <v>1</v>
      </c>
      <c r="K350">
        <v>0</v>
      </c>
      <c r="L350">
        <v>0</v>
      </c>
      <c r="M350">
        <v>0</v>
      </c>
      <c r="N350">
        <v>99</v>
      </c>
    </row>
    <row r="351" spans="1:14" x14ac:dyDescent="0.2">
      <c r="A351">
        <v>350</v>
      </c>
      <c r="B351">
        <v>101</v>
      </c>
      <c r="C351">
        <v>2</v>
      </c>
      <c r="D351" t="str">
        <f>HLOOKUP(Dados!C351,'Variáveis e códigos'!$C$4:$F$5,2,FALSE)</f>
        <v>Feminino</v>
      </c>
      <c r="E351">
        <v>9</v>
      </c>
      <c r="F351">
        <v>1</v>
      </c>
      <c r="G351">
        <v>2</v>
      </c>
      <c r="H351">
        <v>1</v>
      </c>
      <c r="I351">
        <v>0</v>
      </c>
      <c r="J351">
        <v>2</v>
      </c>
      <c r="K351">
        <v>0</v>
      </c>
      <c r="L351">
        <v>0</v>
      </c>
      <c r="M351">
        <v>2</v>
      </c>
      <c r="N351">
        <v>10</v>
      </c>
    </row>
    <row r="352" spans="1:14" x14ac:dyDescent="0.2">
      <c r="A352">
        <v>351</v>
      </c>
      <c r="B352">
        <v>101</v>
      </c>
      <c r="C352">
        <v>1</v>
      </c>
      <c r="D352" t="str">
        <f>HLOOKUP(Dados!C352,'Variáveis e códigos'!$C$4:$F$5,2,FALSE)</f>
        <v>Masculino</v>
      </c>
      <c r="E352">
        <v>8</v>
      </c>
      <c r="F352">
        <v>1</v>
      </c>
      <c r="G352">
        <v>3</v>
      </c>
      <c r="H352">
        <v>1</v>
      </c>
      <c r="I352">
        <v>0</v>
      </c>
      <c r="J352">
        <v>2</v>
      </c>
      <c r="K352">
        <v>0</v>
      </c>
      <c r="L352">
        <v>0</v>
      </c>
      <c r="M352">
        <v>2</v>
      </c>
      <c r="N352">
        <v>8</v>
      </c>
    </row>
    <row r="353" spans="1:14" x14ac:dyDescent="0.2">
      <c r="A353">
        <v>352</v>
      </c>
      <c r="B353">
        <v>101</v>
      </c>
      <c r="C353">
        <v>2</v>
      </c>
      <c r="D353" t="str">
        <f>HLOOKUP(Dados!C353,'Variáveis e códigos'!$C$4:$F$5,2,FALSE)</f>
        <v>Feminino</v>
      </c>
      <c r="E353">
        <v>9</v>
      </c>
      <c r="F353">
        <v>1</v>
      </c>
      <c r="G353">
        <v>1</v>
      </c>
      <c r="H353">
        <v>1</v>
      </c>
      <c r="I353">
        <v>0</v>
      </c>
      <c r="J353">
        <v>2</v>
      </c>
      <c r="K353">
        <v>0</v>
      </c>
      <c r="L353">
        <v>1</v>
      </c>
      <c r="M353">
        <v>2</v>
      </c>
      <c r="N353">
        <v>9</v>
      </c>
    </row>
    <row r="354" spans="1:14" x14ac:dyDescent="0.2">
      <c r="A354">
        <v>353</v>
      </c>
      <c r="B354">
        <v>101</v>
      </c>
      <c r="C354">
        <v>1</v>
      </c>
      <c r="D354" t="str">
        <f>HLOOKUP(Dados!C354,'Variáveis e códigos'!$C$4:$F$5,2,FALSE)</f>
        <v>Masculino</v>
      </c>
      <c r="E354">
        <v>7</v>
      </c>
      <c r="F354">
        <v>1</v>
      </c>
      <c r="G354">
        <v>2</v>
      </c>
      <c r="H354">
        <v>0</v>
      </c>
      <c r="I354">
        <v>0</v>
      </c>
      <c r="J354">
        <v>2</v>
      </c>
      <c r="K354">
        <v>1</v>
      </c>
      <c r="L354">
        <v>0</v>
      </c>
      <c r="M354">
        <v>0</v>
      </c>
      <c r="N354">
        <v>9</v>
      </c>
    </row>
    <row r="355" spans="1:14" x14ac:dyDescent="0.2">
      <c r="A355">
        <v>354</v>
      </c>
      <c r="B355">
        <v>101</v>
      </c>
      <c r="C355">
        <v>1</v>
      </c>
      <c r="D355" t="str">
        <f>HLOOKUP(Dados!C355,'Variáveis e códigos'!$C$4:$F$5,2,FALSE)</f>
        <v>Masculino</v>
      </c>
      <c r="E355">
        <v>10</v>
      </c>
      <c r="F355">
        <v>1</v>
      </c>
      <c r="G355">
        <v>99</v>
      </c>
      <c r="H355">
        <v>0</v>
      </c>
      <c r="I355">
        <v>1</v>
      </c>
      <c r="J355">
        <v>1</v>
      </c>
      <c r="K355">
        <v>0</v>
      </c>
      <c r="L355">
        <v>1</v>
      </c>
      <c r="M355">
        <v>0</v>
      </c>
      <c r="N355">
        <v>9</v>
      </c>
    </row>
    <row r="356" spans="1:14" x14ac:dyDescent="0.2">
      <c r="A356">
        <v>355</v>
      </c>
      <c r="B356">
        <v>101</v>
      </c>
      <c r="C356">
        <v>2</v>
      </c>
      <c r="D356" t="str">
        <f>HLOOKUP(Dados!C356,'Variáveis e códigos'!$C$4:$F$5,2,FALSE)</f>
        <v>Feminino</v>
      </c>
      <c r="E356">
        <v>7</v>
      </c>
      <c r="F356">
        <v>1</v>
      </c>
      <c r="G356">
        <v>1</v>
      </c>
      <c r="H356">
        <v>0</v>
      </c>
      <c r="I356">
        <v>0</v>
      </c>
      <c r="J356">
        <v>2</v>
      </c>
      <c r="K356">
        <v>0</v>
      </c>
      <c r="L356">
        <v>0</v>
      </c>
      <c r="M356">
        <v>0</v>
      </c>
      <c r="N356">
        <v>7</v>
      </c>
    </row>
    <row r="357" spans="1:14" x14ac:dyDescent="0.2">
      <c r="A357">
        <v>356</v>
      </c>
      <c r="B357">
        <v>101</v>
      </c>
      <c r="C357">
        <v>2</v>
      </c>
      <c r="D357" t="str">
        <f>HLOOKUP(Dados!C357,'Variáveis e códigos'!$C$4:$F$5,2,FALSE)</f>
        <v>Feminino</v>
      </c>
      <c r="E357">
        <v>9</v>
      </c>
      <c r="F357">
        <v>1</v>
      </c>
      <c r="G357">
        <v>2</v>
      </c>
      <c r="H357">
        <v>0</v>
      </c>
      <c r="I357">
        <v>0</v>
      </c>
      <c r="J357">
        <v>2</v>
      </c>
      <c r="K357">
        <v>0</v>
      </c>
      <c r="L357">
        <v>0</v>
      </c>
      <c r="M357">
        <v>0</v>
      </c>
      <c r="N357">
        <v>10</v>
      </c>
    </row>
    <row r="358" spans="1:14" x14ac:dyDescent="0.2">
      <c r="A358">
        <v>357</v>
      </c>
      <c r="B358">
        <v>101</v>
      </c>
      <c r="C358">
        <v>1</v>
      </c>
      <c r="D358" t="str">
        <f>HLOOKUP(Dados!C358,'Variáveis e códigos'!$C$4:$F$5,2,FALSE)</f>
        <v>Masculino</v>
      </c>
      <c r="E358">
        <v>5</v>
      </c>
      <c r="F358">
        <v>0</v>
      </c>
      <c r="G358">
        <v>99</v>
      </c>
      <c r="H358">
        <v>2</v>
      </c>
      <c r="I358">
        <v>0</v>
      </c>
      <c r="J358">
        <v>1</v>
      </c>
      <c r="K358">
        <v>0</v>
      </c>
      <c r="L358">
        <v>0</v>
      </c>
      <c r="M358">
        <v>1</v>
      </c>
      <c r="N358">
        <v>9</v>
      </c>
    </row>
    <row r="359" spans="1:14" x14ac:dyDescent="0.2">
      <c r="A359">
        <v>358</v>
      </c>
      <c r="B359">
        <v>101</v>
      </c>
      <c r="C359">
        <v>2</v>
      </c>
      <c r="D359" t="str">
        <f>HLOOKUP(Dados!C359,'Variáveis e códigos'!$C$4:$F$5,2,FALSE)</f>
        <v>Feminino</v>
      </c>
      <c r="E359">
        <v>9</v>
      </c>
      <c r="F359">
        <v>1</v>
      </c>
      <c r="G359">
        <v>2</v>
      </c>
      <c r="H359">
        <v>0</v>
      </c>
      <c r="I359">
        <v>1</v>
      </c>
      <c r="J359">
        <v>1</v>
      </c>
      <c r="K359">
        <v>0</v>
      </c>
      <c r="L359">
        <v>0</v>
      </c>
      <c r="M359">
        <v>0</v>
      </c>
      <c r="N359">
        <v>9</v>
      </c>
    </row>
    <row r="360" spans="1:14" x14ac:dyDescent="0.2">
      <c r="A360">
        <v>359</v>
      </c>
      <c r="B360">
        <v>101</v>
      </c>
      <c r="C360">
        <v>1</v>
      </c>
      <c r="D360" t="str">
        <f>HLOOKUP(Dados!C360,'Variáveis e códigos'!$C$4:$F$5,2,FALSE)</f>
        <v>Masculino</v>
      </c>
      <c r="E360">
        <v>5</v>
      </c>
      <c r="F360">
        <v>0</v>
      </c>
      <c r="G360">
        <v>1</v>
      </c>
      <c r="H360">
        <v>0</v>
      </c>
      <c r="I360">
        <v>0</v>
      </c>
      <c r="J360">
        <v>2</v>
      </c>
      <c r="K360">
        <v>0</v>
      </c>
      <c r="L360">
        <v>0</v>
      </c>
      <c r="M360">
        <v>0</v>
      </c>
      <c r="N360">
        <v>9</v>
      </c>
    </row>
    <row r="361" spans="1:14" x14ac:dyDescent="0.2">
      <c r="A361">
        <v>360</v>
      </c>
      <c r="B361">
        <v>101</v>
      </c>
      <c r="C361">
        <v>2</v>
      </c>
      <c r="D361" t="str">
        <f>HLOOKUP(Dados!C361,'Variáveis e códigos'!$C$4:$F$5,2,FALSE)</f>
        <v>Feminino</v>
      </c>
      <c r="E361">
        <v>7</v>
      </c>
      <c r="F361">
        <v>1</v>
      </c>
      <c r="G361">
        <v>2</v>
      </c>
      <c r="H361">
        <v>2</v>
      </c>
      <c r="I361">
        <v>1</v>
      </c>
      <c r="J361">
        <v>1</v>
      </c>
      <c r="K361">
        <v>1</v>
      </c>
      <c r="L361">
        <v>0</v>
      </c>
      <c r="M361">
        <v>1</v>
      </c>
      <c r="N361">
        <v>7</v>
      </c>
    </row>
    <row r="362" spans="1:14" x14ac:dyDescent="0.2">
      <c r="A362">
        <v>361</v>
      </c>
      <c r="B362">
        <v>101</v>
      </c>
      <c r="C362">
        <v>2</v>
      </c>
      <c r="D362" t="str">
        <f>HLOOKUP(Dados!C362,'Variáveis e códigos'!$C$4:$F$5,2,FALSE)</f>
        <v>Feminino</v>
      </c>
      <c r="E362">
        <v>8</v>
      </c>
      <c r="F362">
        <v>1</v>
      </c>
      <c r="G362">
        <v>2</v>
      </c>
      <c r="H362">
        <v>0</v>
      </c>
      <c r="I362">
        <v>0</v>
      </c>
      <c r="J362">
        <v>2</v>
      </c>
      <c r="K362">
        <v>0</v>
      </c>
      <c r="L362">
        <v>0</v>
      </c>
      <c r="M362">
        <v>0</v>
      </c>
      <c r="N362">
        <v>10</v>
      </c>
    </row>
    <row r="363" spans="1:14" x14ac:dyDescent="0.2">
      <c r="A363">
        <v>362</v>
      </c>
      <c r="B363">
        <v>101</v>
      </c>
      <c r="C363">
        <v>2</v>
      </c>
      <c r="D363" t="str">
        <f>HLOOKUP(Dados!C363,'Variáveis e códigos'!$C$4:$F$5,2,FALSE)</f>
        <v>Feminino</v>
      </c>
      <c r="E363">
        <v>3</v>
      </c>
      <c r="F363">
        <v>0</v>
      </c>
      <c r="G363">
        <v>2</v>
      </c>
      <c r="H363">
        <v>0</v>
      </c>
      <c r="I363">
        <v>0</v>
      </c>
      <c r="J363">
        <v>2</v>
      </c>
      <c r="K363">
        <v>0</v>
      </c>
      <c r="L363">
        <v>0</v>
      </c>
      <c r="M363">
        <v>0</v>
      </c>
      <c r="N363">
        <v>8</v>
      </c>
    </row>
    <row r="364" spans="1:14" x14ac:dyDescent="0.2">
      <c r="A364">
        <v>363</v>
      </c>
      <c r="B364">
        <v>101</v>
      </c>
      <c r="C364">
        <v>1</v>
      </c>
      <c r="D364" t="str">
        <f>HLOOKUP(Dados!C364,'Variáveis e códigos'!$C$4:$F$5,2,FALSE)</f>
        <v>Masculino</v>
      </c>
      <c r="E364">
        <v>4</v>
      </c>
      <c r="F364">
        <v>0</v>
      </c>
      <c r="G364">
        <v>3</v>
      </c>
      <c r="H364">
        <v>1</v>
      </c>
      <c r="I364">
        <v>0</v>
      </c>
      <c r="J364">
        <v>2</v>
      </c>
      <c r="K364">
        <v>0</v>
      </c>
      <c r="L364">
        <v>0</v>
      </c>
      <c r="M364">
        <v>1</v>
      </c>
      <c r="N364">
        <v>10</v>
      </c>
    </row>
    <row r="365" spans="1:14" x14ac:dyDescent="0.2">
      <c r="A365">
        <v>364</v>
      </c>
      <c r="B365">
        <v>101</v>
      </c>
      <c r="C365">
        <v>2</v>
      </c>
      <c r="D365" t="str">
        <f>HLOOKUP(Dados!C365,'Variáveis e códigos'!$C$4:$F$5,2,FALSE)</f>
        <v>Feminino</v>
      </c>
      <c r="E365">
        <v>6</v>
      </c>
      <c r="F365">
        <v>1</v>
      </c>
      <c r="G365">
        <v>3</v>
      </c>
      <c r="H365">
        <v>1</v>
      </c>
      <c r="I365">
        <v>0</v>
      </c>
      <c r="J365">
        <v>2</v>
      </c>
      <c r="K365">
        <v>0</v>
      </c>
      <c r="L365">
        <v>0</v>
      </c>
      <c r="M365">
        <v>0</v>
      </c>
      <c r="N365">
        <v>9</v>
      </c>
    </row>
    <row r="366" spans="1:14" x14ac:dyDescent="0.2">
      <c r="A366">
        <v>365</v>
      </c>
      <c r="B366">
        <v>101</v>
      </c>
      <c r="C366">
        <v>1</v>
      </c>
      <c r="D366" t="str">
        <f>HLOOKUP(Dados!C366,'Variáveis e códigos'!$C$4:$F$5,2,FALSE)</f>
        <v>Masculino</v>
      </c>
      <c r="E366">
        <v>5</v>
      </c>
      <c r="F366">
        <v>0</v>
      </c>
      <c r="G366">
        <v>99</v>
      </c>
      <c r="H366">
        <v>2</v>
      </c>
      <c r="I366">
        <v>2</v>
      </c>
      <c r="J366">
        <v>2</v>
      </c>
      <c r="K366">
        <v>1</v>
      </c>
      <c r="L366">
        <v>0</v>
      </c>
      <c r="M366">
        <v>0</v>
      </c>
      <c r="N366">
        <v>9</v>
      </c>
    </row>
    <row r="367" spans="1:14" x14ac:dyDescent="0.2">
      <c r="A367">
        <v>366</v>
      </c>
      <c r="B367">
        <v>101</v>
      </c>
      <c r="C367">
        <v>1</v>
      </c>
      <c r="D367" t="str">
        <f>HLOOKUP(Dados!C367,'Variáveis e códigos'!$C$4:$F$5,2,FALSE)</f>
        <v>Masculino</v>
      </c>
      <c r="E367">
        <v>8</v>
      </c>
      <c r="F367">
        <v>1</v>
      </c>
      <c r="G367">
        <v>1</v>
      </c>
      <c r="H367">
        <v>0</v>
      </c>
      <c r="I367">
        <v>0</v>
      </c>
      <c r="J367">
        <v>2</v>
      </c>
      <c r="K367">
        <v>0</v>
      </c>
      <c r="L367">
        <v>0</v>
      </c>
      <c r="M367">
        <v>0</v>
      </c>
      <c r="N367">
        <v>10</v>
      </c>
    </row>
    <row r="368" spans="1:14" x14ac:dyDescent="0.2">
      <c r="A368">
        <v>367</v>
      </c>
      <c r="B368">
        <v>101</v>
      </c>
      <c r="C368">
        <v>1</v>
      </c>
      <c r="D368" t="str">
        <f>HLOOKUP(Dados!C368,'Variáveis e códigos'!$C$4:$F$5,2,FALSE)</f>
        <v>Masculino</v>
      </c>
      <c r="E368">
        <v>9</v>
      </c>
      <c r="F368">
        <v>1</v>
      </c>
      <c r="G368">
        <v>1</v>
      </c>
      <c r="H368">
        <v>0</v>
      </c>
      <c r="I368">
        <v>0</v>
      </c>
      <c r="J368">
        <v>2</v>
      </c>
      <c r="K368">
        <v>0</v>
      </c>
      <c r="L368">
        <v>0</v>
      </c>
      <c r="M368">
        <v>0</v>
      </c>
      <c r="N368">
        <v>99</v>
      </c>
    </row>
    <row r="369" spans="1:14" x14ac:dyDescent="0.2">
      <c r="A369">
        <v>368</v>
      </c>
      <c r="B369">
        <v>101</v>
      </c>
      <c r="C369">
        <v>1</v>
      </c>
      <c r="D369" t="str">
        <f>HLOOKUP(Dados!C369,'Variáveis e códigos'!$C$4:$F$5,2,FALSE)</f>
        <v>Masculino</v>
      </c>
      <c r="E369">
        <v>7</v>
      </c>
      <c r="F369">
        <v>1</v>
      </c>
      <c r="G369">
        <v>1</v>
      </c>
      <c r="H369">
        <v>0</v>
      </c>
      <c r="I369">
        <v>0</v>
      </c>
      <c r="J369">
        <v>2</v>
      </c>
      <c r="K369">
        <v>0</v>
      </c>
      <c r="L369">
        <v>0</v>
      </c>
      <c r="M369">
        <v>0</v>
      </c>
      <c r="N369">
        <v>9</v>
      </c>
    </row>
    <row r="370" spans="1:14" x14ac:dyDescent="0.2">
      <c r="A370">
        <v>369</v>
      </c>
      <c r="B370">
        <v>101</v>
      </c>
      <c r="C370">
        <v>1</v>
      </c>
      <c r="D370" t="str">
        <f>HLOOKUP(Dados!C370,'Variáveis e códigos'!$C$4:$F$5,2,FALSE)</f>
        <v>Masculino</v>
      </c>
      <c r="E370">
        <v>9</v>
      </c>
      <c r="F370">
        <v>1</v>
      </c>
      <c r="G370">
        <v>1</v>
      </c>
      <c r="H370">
        <v>0</v>
      </c>
      <c r="I370">
        <v>1</v>
      </c>
      <c r="J370">
        <v>1</v>
      </c>
      <c r="K370">
        <v>1</v>
      </c>
      <c r="L370">
        <v>0</v>
      </c>
      <c r="M370">
        <v>0</v>
      </c>
      <c r="N370">
        <v>9</v>
      </c>
    </row>
    <row r="371" spans="1:14" x14ac:dyDescent="0.2">
      <c r="A371">
        <v>370</v>
      </c>
      <c r="B371">
        <v>101</v>
      </c>
      <c r="C371">
        <v>1</v>
      </c>
      <c r="D371" t="str">
        <f>HLOOKUP(Dados!C371,'Variáveis e códigos'!$C$4:$F$5,2,FALSE)</f>
        <v>Masculino</v>
      </c>
      <c r="E371">
        <v>6</v>
      </c>
      <c r="F371">
        <v>1</v>
      </c>
      <c r="G371">
        <v>2</v>
      </c>
      <c r="H371">
        <v>1</v>
      </c>
      <c r="I371">
        <v>1</v>
      </c>
      <c r="J371">
        <v>1</v>
      </c>
      <c r="K371">
        <v>1</v>
      </c>
      <c r="L371">
        <v>1</v>
      </c>
      <c r="M371">
        <v>1</v>
      </c>
      <c r="N371">
        <v>8</v>
      </c>
    </row>
    <row r="372" spans="1:14" x14ac:dyDescent="0.2">
      <c r="A372">
        <v>371</v>
      </c>
      <c r="B372">
        <v>101</v>
      </c>
      <c r="C372">
        <v>2</v>
      </c>
      <c r="D372" t="str">
        <f>HLOOKUP(Dados!C372,'Variáveis e códigos'!$C$4:$F$5,2,FALSE)</f>
        <v>Feminino</v>
      </c>
      <c r="E372">
        <v>9</v>
      </c>
      <c r="F372">
        <v>1</v>
      </c>
      <c r="G372">
        <v>2</v>
      </c>
      <c r="H372">
        <v>1</v>
      </c>
      <c r="I372">
        <v>1</v>
      </c>
      <c r="J372">
        <v>1</v>
      </c>
      <c r="K372">
        <v>0</v>
      </c>
      <c r="L372">
        <v>0</v>
      </c>
      <c r="M372">
        <v>1</v>
      </c>
      <c r="N372">
        <v>8</v>
      </c>
    </row>
    <row r="373" spans="1:14" x14ac:dyDescent="0.2">
      <c r="A373">
        <v>372</v>
      </c>
      <c r="B373">
        <v>101</v>
      </c>
      <c r="C373">
        <v>1</v>
      </c>
      <c r="D373" t="str">
        <f>HLOOKUP(Dados!C373,'Variáveis e códigos'!$C$4:$F$5,2,FALSE)</f>
        <v>Masculino</v>
      </c>
      <c r="E373">
        <v>6</v>
      </c>
      <c r="F373">
        <v>1</v>
      </c>
      <c r="G373">
        <v>1</v>
      </c>
      <c r="H373">
        <v>1</v>
      </c>
      <c r="I373">
        <v>1</v>
      </c>
      <c r="J373">
        <v>1</v>
      </c>
      <c r="K373">
        <v>0</v>
      </c>
      <c r="L373">
        <v>1</v>
      </c>
      <c r="M373">
        <v>0</v>
      </c>
      <c r="N373">
        <v>8</v>
      </c>
    </row>
    <row r="374" spans="1:14" x14ac:dyDescent="0.2">
      <c r="A374">
        <v>373</v>
      </c>
      <c r="B374">
        <v>101</v>
      </c>
      <c r="C374">
        <v>1</v>
      </c>
      <c r="D374" t="str">
        <f>HLOOKUP(Dados!C374,'Variáveis e códigos'!$C$4:$F$5,2,FALSE)</f>
        <v>Masculino</v>
      </c>
      <c r="E374">
        <v>6</v>
      </c>
      <c r="F374">
        <v>1</v>
      </c>
      <c r="G374">
        <v>3</v>
      </c>
      <c r="H374">
        <v>2</v>
      </c>
      <c r="I374">
        <v>0</v>
      </c>
      <c r="J374">
        <v>1</v>
      </c>
      <c r="K374">
        <v>2</v>
      </c>
      <c r="L374">
        <v>1</v>
      </c>
      <c r="M374">
        <v>0</v>
      </c>
      <c r="N374">
        <v>9</v>
      </c>
    </row>
    <row r="375" spans="1:14" x14ac:dyDescent="0.2">
      <c r="A375">
        <v>374</v>
      </c>
      <c r="B375">
        <v>101</v>
      </c>
      <c r="C375">
        <v>1</v>
      </c>
      <c r="D375" t="str">
        <f>HLOOKUP(Dados!C375,'Variáveis e códigos'!$C$4:$F$5,2,FALSE)</f>
        <v>Masculino</v>
      </c>
      <c r="E375">
        <v>6</v>
      </c>
      <c r="F375">
        <v>1</v>
      </c>
      <c r="G375">
        <v>99</v>
      </c>
      <c r="H375">
        <v>1</v>
      </c>
      <c r="I375">
        <v>0</v>
      </c>
      <c r="J375">
        <v>2</v>
      </c>
      <c r="K375">
        <v>0</v>
      </c>
      <c r="L375">
        <v>0</v>
      </c>
      <c r="M375">
        <v>0</v>
      </c>
      <c r="N375">
        <v>99</v>
      </c>
    </row>
    <row r="376" spans="1:14" x14ac:dyDescent="0.2">
      <c r="A376">
        <v>375</v>
      </c>
      <c r="B376">
        <v>101</v>
      </c>
      <c r="C376">
        <v>1</v>
      </c>
      <c r="D376" t="str">
        <f>HLOOKUP(Dados!C376,'Variáveis e códigos'!$C$4:$F$5,2,FALSE)</f>
        <v>Masculino</v>
      </c>
      <c r="E376">
        <v>7</v>
      </c>
      <c r="F376">
        <v>1</v>
      </c>
      <c r="G376">
        <v>2</v>
      </c>
      <c r="H376">
        <v>1</v>
      </c>
      <c r="I376">
        <v>0</v>
      </c>
      <c r="J376">
        <v>2</v>
      </c>
      <c r="K376">
        <v>0</v>
      </c>
      <c r="L376">
        <v>0</v>
      </c>
      <c r="M376">
        <v>2</v>
      </c>
      <c r="N376">
        <v>8</v>
      </c>
    </row>
    <row r="377" spans="1:14" x14ac:dyDescent="0.2">
      <c r="A377">
        <v>376</v>
      </c>
      <c r="B377">
        <v>101</v>
      </c>
      <c r="C377">
        <v>1</v>
      </c>
      <c r="D377" t="str">
        <f>HLOOKUP(Dados!C377,'Variáveis e códigos'!$C$4:$F$5,2,FALSE)</f>
        <v>Masculino</v>
      </c>
      <c r="E377">
        <v>7</v>
      </c>
      <c r="F377">
        <v>1</v>
      </c>
      <c r="G377">
        <v>3</v>
      </c>
      <c r="H377">
        <v>2</v>
      </c>
      <c r="I377">
        <v>0</v>
      </c>
      <c r="J377">
        <v>2</v>
      </c>
      <c r="K377">
        <v>0</v>
      </c>
      <c r="L377">
        <v>0</v>
      </c>
      <c r="M377">
        <v>0</v>
      </c>
      <c r="N377">
        <v>9</v>
      </c>
    </row>
    <row r="378" spans="1:14" x14ac:dyDescent="0.2">
      <c r="A378">
        <v>377</v>
      </c>
      <c r="B378">
        <v>101</v>
      </c>
      <c r="C378">
        <v>1</v>
      </c>
      <c r="D378" t="str">
        <f>HLOOKUP(Dados!C378,'Variáveis e códigos'!$C$4:$F$5,2,FALSE)</f>
        <v>Masculino</v>
      </c>
      <c r="E378">
        <v>8</v>
      </c>
      <c r="F378">
        <v>1</v>
      </c>
      <c r="G378">
        <v>2</v>
      </c>
      <c r="H378">
        <v>1</v>
      </c>
      <c r="I378">
        <v>2</v>
      </c>
      <c r="J378">
        <v>2</v>
      </c>
      <c r="K378">
        <v>1</v>
      </c>
      <c r="L378">
        <v>0</v>
      </c>
      <c r="M378">
        <v>0</v>
      </c>
      <c r="N378">
        <v>9</v>
      </c>
    </row>
    <row r="379" spans="1:14" x14ac:dyDescent="0.2">
      <c r="A379">
        <v>378</v>
      </c>
      <c r="B379">
        <v>101</v>
      </c>
      <c r="C379">
        <v>1</v>
      </c>
      <c r="D379" t="str">
        <f>HLOOKUP(Dados!C379,'Variáveis e códigos'!$C$4:$F$5,2,FALSE)</f>
        <v>Masculino</v>
      </c>
      <c r="E379">
        <v>9</v>
      </c>
      <c r="F379">
        <v>1</v>
      </c>
      <c r="G379">
        <v>1</v>
      </c>
      <c r="H379">
        <v>0</v>
      </c>
      <c r="I379">
        <v>0</v>
      </c>
      <c r="J379">
        <v>2</v>
      </c>
      <c r="K379">
        <v>0</v>
      </c>
      <c r="L379">
        <v>0</v>
      </c>
      <c r="M379">
        <v>0</v>
      </c>
      <c r="N379">
        <v>7</v>
      </c>
    </row>
    <row r="380" spans="1:14" x14ac:dyDescent="0.2">
      <c r="A380">
        <v>379</v>
      </c>
      <c r="B380">
        <v>101</v>
      </c>
      <c r="C380">
        <v>2</v>
      </c>
      <c r="D380" t="str">
        <f>HLOOKUP(Dados!C380,'Variáveis e códigos'!$C$4:$F$5,2,FALSE)</f>
        <v>Feminino</v>
      </c>
      <c r="E380">
        <v>9</v>
      </c>
      <c r="F380">
        <v>1</v>
      </c>
      <c r="G380">
        <v>2</v>
      </c>
      <c r="H380">
        <v>0</v>
      </c>
      <c r="I380">
        <v>0</v>
      </c>
      <c r="J380">
        <v>2</v>
      </c>
      <c r="K380">
        <v>0</v>
      </c>
      <c r="L380">
        <v>0</v>
      </c>
      <c r="M380">
        <v>0</v>
      </c>
      <c r="N380">
        <v>10</v>
      </c>
    </row>
    <row r="381" spans="1:14" x14ac:dyDescent="0.2">
      <c r="A381">
        <v>380</v>
      </c>
      <c r="B381">
        <v>101</v>
      </c>
      <c r="C381">
        <v>1</v>
      </c>
      <c r="D381" t="str">
        <f>HLOOKUP(Dados!C381,'Variáveis e códigos'!$C$4:$F$5,2,FALSE)</f>
        <v>Masculino</v>
      </c>
      <c r="E381">
        <v>5</v>
      </c>
      <c r="F381">
        <v>1</v>
      </c>
      <c r="G381">
        <v>1</v>
      </c>
      <c r="H381">
        <v>1</v>
      </c>
      <c r="I381">
        <v>1</v>
      </c>
      <c r="J381">
        <v>2</v>
      </c>
      <c r="K381">
        <v>0</v>
      </c>
      <c r="L381">
        <v>0</v>
      </c>
      <c r="M381">
        <v>1</v>
      </c>
      <c r="N381">
        <v>9</v>
      </c>
    </row>
    <row r="382" spans="1:14" x14ac:dyDescent="0.2">
      <c r="A382">
        <v>381</v>
      </c>
      <c r="B382">
        <v>101</v>
      </c>
      <c r="C382">
        <v>2</v>
      </c>
      <c r="D382" t="str">
        <f>HLOOKUP(Dados!C382,'Variáveis e códigos'!$C$4:$F$5,2,FALSE)</f>
        <v>Feminino</v>
      </c>
      <c r="E382">
        <v>6</v>
      </c>
      <c r="F382">
        <v>1</v>
      </c>
      <c r="G382">
        <v>1</v>
      </c>
      <c r="H382">
        <v>2</v>
      </c>
      <c r="I382">
        <v>0</v>
      </c>
      <c r="J382">
        <v>2</v>
      </c>
      <c r="K382">
        <v>0</v>
      </c>
      <c r="L382">
        <v>0</v>
      </c>
      <c r="M382">
        <v>0</v>
      </c>
      <c r="N382">
        <v>9</v>
      </c>
    </row>
    <row r="383" spans="1:14" x14ac:dyDescent="0.2">
      <c r="A383">
        <v>382</v>
      </c>
      <c r="B383">
        <v>101</v>
      </c>
      <c r="C383">
        <v>1</v>
      </c>
      <c r="D383" t="str">
        <f>HLOOKUP(Dados!C383,'Variáveis e códigos'!$C$4:$F$5,2,FALSE)</f>
        <v>Masculino</v>
      </c>
      <c r="E383">
        <v>7</v>
      </c>
      <c r="F383">
        <v>1</v>
      </c>
      <c r="G383">
        <v>3</v>
      </c>
      <c r="H383">
        <v>0</v>
      </c>
      <c r="I383">
        <v>0</v>
      </c>
      <c r="J383">
        <v>2</v>
      </c>
      <c r="K383">
        <v>0</v>
      </c>
      <c r="L383">
        <v>0</v>
      </c>
      <c r="M383">
        <v>0</v>
      </c>
      <c r="N383">
        <v>9</v>
      </c>
    </row>
    <row r="384" spans="1:14" x14ac:dyDescent="0.2">
      <c r="A384">
        <v>383</v>
      </c>
      <c r="B384">
        <v>101</v>
      </c>
      <c r="C384">
        <v>2</v>
      </c>
      <c r="D384" t="str">
        <f>HLOOKUP(Dados!C384,'Variáveis e códigos'!$C$4:$F$5,2,FALSE)</f>
        <v>Feminino</v>
      </c>
      <c r="E384">
        <v>8</v>
      </c>
      <c r="F384">
        <v>1</v>
      </c>
      <c r="G384">
        <v>2</v>
      </c>
      <c r="H384">
        <v>0</v>
      </c>
      <c r="I384">
        <v>0</v>
      </c>
      <c r="J384">
        <v>2</v>
      </c>
      <c r="K384">
        <v>0</v>
      </c>
      <c r="L384">
        <v>0</v>
      </c>
      <c r="M384">
        <v>1</v>
      </c>
      <c r="N384">
        <v>10</v>
      </c>
    </row>
    <row r="385" spans="1:14" x14ac:dyDescent="0.2">
      <c r="A385">
        <v>384</v>
      </c>
      <c r="B385">
        <v>101</v>
      </c>
      <c r="C385">
        <v>2</v>
      </c>
      <c r="D385" t="str">
        <f>HLOOKUP(Dados!C385,'Variáveis e códigos'!$C$4:$F$5,2,FALSE)</f>
        <v>Feminino</v>
      </c>
      <c r="E385">
        <v>7</v>
      </c>
      <c r="F385">
        <v>1</v>
      </c>
      <c r="G385">
        <v>3</v>
      </c>
      <c r="H385">
        <v>0</v>
      </c>
      <c r="I385">
        <v>0</v>
      </c>
      <c r="J385">
        <v>2</v>
      </c>
      <c r="K385">
        <v>0</v>
      </c>
      <c r="L385">
        <v>0</v>
      </c>
      <c r="M385">
        <v>1</v>
      </c>
      <c r="N385">
        <v>8</v>
      </c>
    </row>
    <row r="386" spans="1:14" x14ac:dyDescent="0.2">
      <c r="A386">
        <v>385</v>
      </c>
      <c r="B386">
        <v>101</v>
      </c>
      <c r="C386">
        <v>1</v>
      </c>
      <c r="D386" t="str">
        <f>HLOOKUP(Dados!C386,'Variáveis e códigos'!$C$4:$F$5,2,FALSE)</f>
        <v>Masculino</v>
      </c>
      <c r="E386">
        <v>7</v>
      </c>
      <c r="F386">
        <v>1</v>
      </c>
      <c r="G386">
        <v>1</v>
      </c>
      <c r="H386">
        <v>1</v>
      </c>
      <c r="I386">
        <v>0</v>
      </c>
      <c r="J386">
        <v>2</v>
      </c>
      <c r="K386">
        <v>0</v>
      </c>
      <c r="L386">
        <v>0</v>
      </c>
      <c r="M386">
        <v>0</v>
      </c>
      <c r="N386">
        <v>99</v>
      </c>
    </row>
    <row r="387" spans="1:14" x14ac:dyDescent="0.2">
      <c r="A387">
        <v>386</v>
      </c>
      <c r="B387">
        <v>101</v>
      </c>
      <c r="C387">
        <v>2</v>
      </c>
      <c r="D387" t="str">
        <f>HLOOKUP(Dados!C387,'Variáveis e códigos'!$C$4:$F$5,2,FALSE)</f>
        <v>Feminino</v>
      </c>
      <c r="E387">
        <v>7</v>
      </c>
      <c r="F387">
        <v>1</v>
      </c>
      <c r="G387">
        <v>1</v>
      </c>
      <c r="H387">
        <v>2</v>
      </c>
      <c r="I387">
        <v>1</v>
      </c>
      <c r="J387">
        <v>1</v>
      </c>
      <c r="K387">
        <v>0</v>
      </c>
      <c r="L387">
        <v>1</v>
      </c>
      <c r="M387">
        <v>2</v>
      </c>
      <c r="N387">
        <v>8</v>
      </c>
    </row>
    <row r="388" spans="1:14" x14ac:dyDescent="0.2">
      <c r="A388">
        <v>387</v>
      </c>
      <c r="B388">
        <v>101</v>
      </c>
      <c r="C388">
        <v>2</v>
      </c>
      <c r="D388" t="str">
        <f>HLOOKUP(Dados!C388,'Variáveis e códigos'!$C$4:$F$5,2,FALSE)</f>
        <v>Feminino</v>
      </c>
      <c r="E388">
        <v>9</v>
      </c>
      <c r="F388">
        <v>1</v>
      </c>
      <c r="G388">
        <v>1</v>
      </c>
      <c r="H388">
        <v>2</v>
      </c>
      <c r="I388">
        <v>1</v>
      </c>
      <c r="J388">
        <v>1</v>
      </c>
      <c r="K388">
        <v>0</v>
      </c>
      <c r="L388">
        <v>0</v>
      </c>
      <c r="M388">
        <v>0</v>
      </c>
      <c r="N388">
        <v>10</v>
      </c>
    </row>
    <row r="389" spans="1:14" x14ac:dyDescent="0.2">
      <c r="A389">
        <v>388</v>
      </c>
      <c r="B389">
        <v>101</v>
      </c>
      <c r="C389">
        <v>2</v>
      </c>
      <c r="D389" t="str">
        <f>HLOOKUP(Dados!C389,'Variáveis e códigos'!$C$4:$F$5,2,FALSE)</f>
        <v>Feminino</v>
      </c>
      <c r="E389">
        <v>4</v>
      </c>
      <c r="F389">
        <v>0</v>
      </c>
      <c r="G389">
        <v>2</v>
      </c>
      <c r="H389">
        <v>0</v>
      </c>
      <c r="I389">
        <v>0</v>
      </c>
      <c r="J389">
        <v>2</v>
      </c>
      <c r="K389">
        <v>0</v>
      </c>
      <c r="L389">
        <v>1</v>
      </c>
      <c r="M389">
        <v>1</v>
      </c>
      <c r="N389">
        <v>10</v>
      </c>
    </row>
    <row r="390" spans="1:14" x14ac:dyDescent="0.2">
      <c r="A390">
        <v>389</v>
      </c>
      <c r="B390">
        <v>101</v>
      </c>
      <c r="C390">
        <v>2</v>
      </c>
      <c r="D390" t="str">
        <f>HLOOKUP(Dados!C390,'Variáveis e códigos'!$C$4:$F$5,2,FALSE)</f>
        <v>Feminino</v>
      </c>
      <c r="E390">
        <v>9</v>
      </c>
      <c r="F390">
        <v>1</v>
      </c>
      <c r="G390">
        <v>1</v>
      </c>
      <c r="H390">
        <v>1</v>
      </c>
      <c r="I390">
        <v>0</v>
      </c>
      <c r="J390">
        <v>1</v>
      </c>
      <c r="K390">
        <v>0</v>
      </c>
      <c r="L390">
        <v>0</v>
      </c>
      <c r="M390">
        <v>0</v>
      </c>
      <c r="N390">
        <v>10</v>
      </c>
    </row>
    <row r="391" spans="1:14" x14ac:dyDescent="0.2">
      <c r="A391">
        <v>390</v>
      </c>
      <c r="B391">
        <v>101</v>
      </c>
      <c r="C391">
        <v>1</v>
      </c>
      <c r="D391" t="str">
        <f>HLOOKUP(Dados!C391,'Variáveis e códigos'!$C$4:$F$5,2,FALSE)</f>
        <v>Masculino</v>
      </c>
      <c r="E391">
        <v>7</v>
      </c>
      <c r="F391">
        <v>1</v>
      </c>
      <c r="G391">
        <v>3</v>
      </c>
      <c r="H391">
        <v>0</v>
      </c>
      <c r="I391">
        <v>0</v>
      </c>
      <c r="J391">
        <v>2</v>
      </c>
      <c r="K391">
        <v>0</v>
      </c>
      <c r="L391">
        <v>0</v>
      </c>
      <c r="M391">
        <v>0</v>
      </c>
      <c r="N391">
        <v>8</v>
      </c>
    </row>
    <row r="392" spans="1:14" x14ac:dyDescent="0.2">
      <c r="A392">
        <v>391</v>
      </c>
      <c r="B392">
        <v>101</v>
      </c>
      <c r="C392">
        <v>2</v>
      </c>
      <c r="D392" t="str">
        <f>HLOOKUP(Dados!C392,'Variáveis e códigos'!$C$4:$F$5,2,FALSE)</f>
        <v>Feminino</v>
      </c>
      <c r="E392">
        <v>6</v>
      </c>
      <c r="F392">
        <v>1</v>
      </c>
      <c r="G392">
        <v>2</v>
      </c>
      <c r="H392">
        <v>0</v>
      </c>
      <c r="I392">
        <v>0</v>
      </c>
      <c r="J392">
        <v>2</v>
      </c>
      <c r="K392">
        <v>0</v>
      </c>
      <c r="L392">
        <v>0</v>
      </c>
      <c r="M392">
        <v>0</v>
      </c>
      <c r="N392">
        <v>8</v>
      </c>
    </row>
    <row r="393" spans="1:14" x14ac:dyDescent="0.2">
      <c r="A393">
        <v>392</v>
      </c>
      <c r="B393">
        <v>101</v>
      </c>
      <c r="C393">
        <v>1</v>
      </c>
      <c r="D393" t="str">
        <f>HLOOKUP(Dados!C393,'Variáveis e códigos'!$C$4:$F$5,2,FALSE)</f>
        <v>Masculino</v>
      </c>
      <c r="E393">
        <v>6</v>
      </c>
      <c r="F393">
        <v>1</v>
      </c>
      <c r="G393">
        <v>1</v>
      </c>
      <c r="H393">
        <v>1</v>
      </c>
      <c r="I393">
        <v>0</v>
      </c>
      <c r="J393">
        <v>2</v>
      </c>
      <c r="K393">
        <v>1</v>
      </c>
      <c r="L393">
        <v>1</v>
      </c>
      <c r="M393">
        <v>2</v>
      </c>
      <c r="N393">
        <v>8</v>
      </c>
    </row>
    <row r="394" spans="1:14" x14ac:dyDescent="0.2">
      <c r="A394">
        <v>393</v>
      </c>
      <c r="B394">
        <v>101</v>
      </c>
      <c r="C394">
        <v>2</v>
      </c>
      <c r="D394" t="str">
        <f>HLOOKUP(Dados!C394,'Variáveis e códigos'!$C$4:$F$5,2,FALSE)</f>
        <v>Feminino</v>
      </c>
      <c r="E394">
        <v>8</v>
      </c>
      <c r="F394">
        <v>1</v>
      </c>
      <c r="G394">
        <v>3</v>
      </c>
      <c r="H394">
        <v>1</v>
      </c>
      <c r="I394">
        <v>1</v>
      </c>
      <c r="J394">
        <v>1</v>
      </c>
      <c r="K394">
        <v>0</v>
      </c>
      <c r="L394">
        <v>0</v>
      </c>
      <c r="M394">
        <v>0</v>
      </c>
      <c r="N394">
        <v>10</v>
      </c>
    </row>
    <row r="395" spans="1:14" x14ac:dyDescent="0.2">
      <c r="A395">
        <v>394</v>
      </c>
      <c r="B395">
        <v>101</v>
      </c>
      <c r="C395">
        <v>1</v>
      </c>
      <c r="D395" t="str">
        <f>HLOOKUP(Dados!C395,'Variáveis e códigos'!$C$4:$F$5,2,FALSE)</f>
        <v>Masculino</v>
      </c>
      <c r="E395">
        <v>9</v>
      </c>
      <c r="F395">
        <v>1</v>
      </c>
      <c r="G395">
        <v>2</v>
      </c>
      <c r="H395">
        <v>2</v>
      </c>
      <c r="I395">
        <v>2</v>
      </c>
      <c r="J395">
        <v>1</v>
      </c>
      <c r="K395">
        <v>2</v>
      </c>
      <c r="L395">
        <v>0</v>
      </c>
      <c r="M395">
        <v>0</v>
      </c>
      <c r="N395">
        <v>9</v>
      </c>
    </row>
    <row r="396" spans="1:14" x14ac:dyDescent="0.2">
      <c r="A396">
        <v>395</v>
      </c>
      <c r="B396">
        <v>101</v>
      </c>
      <c r="C396">
        <v>1</v>
      </c>
      <c r="D396" t="str">
        <f>HLOOKUP(Dados!C396,'Variáveis e códigos'!$C$4:$F$5,2,FALSE)</f>
        <v>Masculino</v>
      </c>
      <c r="E396">
        <v>5</v>
      </c>
      <c r="F396">
        <v>0</v>
      </c>
      <c r="G396">
        <v>2</v>
      </c>
      <c r="H396">
        <v>1</v>
      </c>
      <c r="I396">
        <v>1</v>
      </c>
      <c r="J396">
        <v>2</v>
      </c>
      <c r="K396">
        <v>1</v>
      </c>
      <c r="L396">
        <v>1</v>
      </c>
      <c r="M396">
        <v>1</v>
      </c>
      <c r="N396">
        <v>9</v>
      </c>
    </row>
    <row r="397" spans="1:14" x14ac:dyDescent="0.2">
      <c r="A397">
        <v>396</v>
      </c>
      <c r="B397">
        <v>101</v>
      </c>
      <c r="C397">
        <v>2</v>
      </c>
      <c r="D397" t="str">
        <f>HLOOKUP(Dados!C397,'Variáveis e códigos'!$C$4:$F$5,2,FALSE)</f>
        <v>Feminino</v>
      </c>
      <c r="E397">
        <v>9</v>
      </c>
      <c r="F397">
        <v>1</v>
      </c>
      <c r="G397">
        <v>3</v>
      </c>
      <c r="H397">
        <v>0</v>
      </c>
      <c r="I397">
        <v>0</v>
      </c>
      <c r="J397">
        <v>2</v>
      </c>
      <c r="K397">
        <v>0</v>
      </c>
      <c r="L397">
        <v>0</v>
      </c>
      <c r="M397">
        <v>0</v>
      </c>
      <c r="N397">
        <v>99</v>
      </c>
    </row>
    <row r="398" spans="1:14" x14ac:dyDescent="0.2">
      <c r="A398">
        <v>397</v>
      </c>
      <c r="B398">
        <v>101</v>
      </c>
      <c r="C398">
        <v>1</v>
      </c>
      <c r="D398" t="str">
        <f>HLOOKUP(Dados!C398,'Variáveis e códigos'!$C$4:$F$5,2,FALSE)</f>
        <v>Masculino</v>
      </c>
      <c r="E398">
        <v>8</v>
      </c>
      <c r="F398">
        <v>1</v>
      </c>
      <c r="G398">
        <v>2</v>
      </c>
      <c r="H398">
        <v>0</v>
      </c>
      <c r="I398">
        <v>0</v>
      </c>
      <c r="J398">
        <v>2</v>
      </c>
      <c r="K398">
        <v>0</v>
      </c>
      <c r="L398">
        <v>0</v>
      </c>
      <c r="M398">
        <v>1</v>
      </c>
      <c r="N398">
        <v>8</v>
      </c>
    </row>
    <row r="399" spans="1:14" x14ac:dyDescent="0.2">
      <c r="A399">
        <v>398</v>
      </c>
      <c r="B399">
        <v>101</v>
      </c>
      <c r="C399">
        <v>1</v>
      </c>
      <c r="D399" t="str">
        <f>HLOOKUP(Dados!C399,'Variáveis e códigos'!$C$4:$F$5,2,FALSE)</f>
        <v>Masculino</v>
      </c>
      <c r="E399">
        <v>7</v>
      </c>
      <c r="F399">
        <v>1</v>
      </c>
      <c r="G399">
        <v>3</v>
      </c>
      <c r="H399">
        <v>2</v>
      </c>
      <c r="I399">
        <v>0</v>
      </c>
      <c r="J399">
        <v>1</v>
      </c>
      <c r="K399">
        <v>0</v>
      </c>
      <c r="L399">
        <v>0</v>
      </c>
      <c r="M399">
        <v>0</v>
      </c>
      <c r="N399">
        <v>9</v>
      </c>
    </row>
    <row r="400" spans="1:14" x14ac:dyDescent="0.2">
      <c r="A400">
        <v>399</v>
      </c>
      <c r="B400">
        <v>101</v>
      </c>
      <c r="C400">
        <v>2</v>
      </c>
      <c r="D400" t="str">
        <f>HLOOKUP(Dados!C400,'Variáveis e códigos'!$C$4:$F$5,2,FALSE)</f>
        <v>Feminino</v>
      </c>
      <c r="E400">
        <v>8</v>
      </c>
      <c r="F400">
        <v>1</v>
      </c>
      <c r="G400">
        <v>3</v>
      </c>
      <c r="H400">
        <v>2</v>
      </c>
      <c r="I400">
        <v>2</v>
      </c>
      <c r="J400">
        <v>1</v>
      </c>
      <c r="K400">
        <v>1</v>
      </c>
      <c r="L400">
        <v>1</v>
      </c>
      <c r="M400">
        <v>1</v>
      </c>
      <c r="N400">
        <v>10</v>
      </c>
    </row>
    <row r="401" spans="1:14" x14ac:dyDescent="0.2">
      <c r="A401">
        <v>400</v>
      </c>
      <c r="B401">
        <v>101</v>
      </c>
      <c r="C401">
        <v>1</v>
      </c>
      <c r="D401" t="str">
        <f>HLOOKUP(Dados!C401,'Variáveis e códigos'!$C$4:$F$5,2,FALSE)</f>
        <v>Masculino</v>
      </c>
      <c r="E401">
        <v>8</v>
      </c>
      <c r="F401">
        <v>1</v>
      </c>
      <c r="G401">
        <v>3</v>
      </c>
      <c r="H401">
        <v>1</v>
      </c>
      <c r="I401">
        <v>0</v>
      </c>
      <c r="J401">
        <v>2</v>
      </c>
      <c r="K401">
        <v>1</v>
      </c>
      <c r="L401">
        <v>0</v>
      </c>
      <c r="M401">
        <v>0</v>
      </c>
      <c r="N401">
        <v>9</v>
      </c>
    </row>
    <row r="402" spans="1:14" x14ac:dyDescent="0.2">
      <c r="A402">
        <v>401</v>
      </c>
      <c r="B402">
        <v>101</v>
      </c>
      <c r="C402">
        <v>1</v>
      </c>
      <c r="D402" t="str">
        <f>HLOOKUP(Dados!C402,'Variáveis e códigos'!$C$4:$F$5,2,FALSE)</f>
        <v>Masculino</v>
      </c>
      <c r="E402">
        <v>7</v>
      </c>
      <c r="F402">
        <v>1</v>
      </c>
      <c r="G402">
        <v>3</v>
      </c>
      <c r="H402">
        <v>2</v>
      </c>
      <c r="I402">
        <v>0</v>
      </c>
      <c r="J402">
        <v>2</v>
      </c>
      <c r="K402">
        <v>0</v>
      </c>
      <c r="L402">
        <v>0</v>
      </c>
      <c r="M402">
        <v>0</v>
      </c>
      <c r="N402">
        <v>8</v>
      </c>
    </row>
    <row r="403" spans="1:14" x14ac:dyDescent="0.2">
      <c r="A403">
        <v>402</v>
      </c>
      <c r="B403">
        <v>101</v>
      </c>
      <c r="C403">
        <v>2</v>
      </c>
      <c r="D403" t="str">
        <f>HLOOKUP(Dados!C403,'Variáveis e códigos'!$C$4:$F$5,2,FALSE)</f>
        <v>Feminino</v>
      </c>
      <c r="E403">
        <v>8</v>
      </c>
      <c r="F403">
        <v>1</v>
      </c>
      <c r="G403">
        <v>2</v>
      </c>
      <c r="H403">
        <v>0</v>
      </c>
      <c r="I403">
        <v>0</v>
      </c>
      <c r="J403">
        <v>2</v>
      </c>
      <c r="K403">
        <v>0</v>
      </c>
      <c r="L403">
        <v>0</v>
      </c>
      <c r="M403">
        <v>0</v>
      </c>
      <c r="N403">
        <v>9</v>
      </c>
    </row>
    <row r="404" spans="1:14" x14ac:dyDescent="0.2">
      <c r="A404">
        <v>403</v>
      </c>
      <c r="B404">
        <v>101</v>
      </c>
      <c r="C404">
        <v>2</v>
      </c>
      <c r="D404" t="str">
        <f>HLOOKUP(Dados!C404,'Variáveis e códigos'!$C$4:$F$5,2,FALSE)</f>
        <v>Feminino</v>
      </c>
      <c r="E404">
        <v>4</v>
      </c>
      <c r="F404">
        <v>0</v>
      </c>
      <c r="G404">
        <v>2</v>
      </c>
      <c r="H404">
        <v>1</v>
      </c>
      <c r="I404">
        <v>0</v>
      </c>
      <c r="J404">
        <v>2</v>
      </c>
      <c r="K404">
        <v>0</v>
      </c>
      <c r="L404">
        <v>0</v>
      </c>
      <c r="M404">
        <v>0</v>
      </c>
      <c r="N404">
        <v>7</v>
      </c>
    </row>
    <row r="405" spans="1:14" x14ac:dyDescent="0.2">
      <c r="A405">
        <v>404</v>
      </c>
      <c r="B405">
        <v>101</v>
      </c>
      <c r="C405">
        <v>2</v>
      </c>
      <c r="D405" t="str">
        <f>HLOOKUP(Dados!C405,'Variáveis e códigos'!$C$4:$F$5,2,FALSE)</f>
        <v>Feminino</v>
      </c>
      <c r="E405">
        <v>6</v>
      </c>
      <c r="F405">
        <v>1</v>
      </c>
      <c r="G405">
        <v>3</v>
      </c>
      <c r="H405">
        <v>0</v>
      </c>
      <c r="I405">
        <v>0</v>
      </c>
      <c r="J405">
        <v>2</v>
      </c>
      <c r="K405">
        <v>1</v>
      </c>
      <c r="L405">
        <v>1</v>
      </c>
      <c r="M405">
        <v>1</v>
      </c>
      <c r="N405">
        <v>8</v>
      </c>
    </row>
    <row r="406" spans="1:14" x14ac:dyDescent="0.2">
      <c r="A406">
        <v>405</v>
      </c>
      <c r="B406">
        <v>101</v>
      </c>
      <c r="C406">
        <v>2</v>
      </c>
      <c r="D406" t="str">
        <f>HLOOKUP(Dados!C406,'Variáveis e códigos'!$C$4:$F$5,2,FALSE)</f>
        <v>Feminino</v>
      </c>
      <c r="E406">
        <v>7</v>
      </c>
      <c r="F406">
        <v>1</v>
      </c>
      <c r="G406">
        <v>2</v>
      </c>
      <c r="H406">
        <v>0</v>
      </c>
      <c r="I406">
        <v>0</v>
      </c>
      <c r="J406">
        <v>2</v>
      </c>
      <c r="K406">
        <v>0</v>
      </c>
      <c r="L406">
        <v>0</v>
      </c>
      <c r="M406">
        <v>0</v>
      </c>
      <c r="N406">
        <v>99</v>
      </c>
    </row>
    <row r="407" spans="1:14" x14ac:dyDescent="0.2">
      <c r="A407">
        <v>406</v>
      </c>
      <c r="B407">
        <v>101</v>
      </c>
      <c r="C407">
        <v>2</v>
      </c>
      <c r="D407" t="str">
        <f>HLOOKUP(Dados!C407,'Variáveis e códigos'!$C$4:$F$5,2,FALSE)</f>
        <v>Feminino</v>
      </c>
      <c r="E407">
        <v>8</v>
      </c>
      <c r="F407">
        <v>1</v>
      </c>
      <c r="G407">
        <v>1</v>
      </c>
      <c r="H407">
        <v>0</v>
      </c>
      <c r="I407">
        <v>0</v>
      </c>
      <c r="J407">
        <v>2</v>
      </c>
      <c r="K407">
        <v>0</v>
      </c>
      <c r="L407">
        <v>0</v>
      </c>
      <c r="M407">
        <v>0</v>
      </c>
      <c r="N407">
        <v>10</v>
      </c>
    </row>
    <row r="408" spans="1:14" x14ac:dyDescent="0.2">
      <c r="A408">
        <v>407</v>
      </c>
      <c r="B408">
        <v>101</v>
      </c>
      <c r="C408">
        <v>1</v>
      </c>
      <c r="D408" t="str">
        <f>HLOOKUP(Dados!C408,'Variáveis e códigos'!$C$4:$F$5,2,FALSE)</f>
        <v>Masculino</v>
      </c>
      <c r="E408">
        <v>4</v>
      </c>
      <c r="F408">
        <v>0</v>
      </c>
      <c r="G408">
        <v>2</v>
      </c>
      <c r="H408">
        <v>1</v>
      </c>
      <c r="I408">
        <v>0</v>
      </c>
      <c r="J408">
        <v>0</v>
      </c>
      <c r="K408">
        <v>0</v>
      </c>
      <c r="L408">
        <v>1</v>
      </c>
      <c r="M408">
        <v>1</v>
      </c>
      <c r="N408">
        <v>10</v>
      </c>
    </row>
    <row r="409" spans="1:14" x14ac:dyDescent="0.2">
      <c r="A409">
        <v>408</v>
      </c>
      <c r="B409">
        <v>101</v>
      </c>
      <c r="C409">
        <v>1</v>
      </c>
      <c r="D409" t="str">
        <f>HLOOKUP(Dados!C409,'Variáveis e códigos'!$C$4:$F$5,2,FALSE)</f>
        <v>Masculino</v>
      </c>
      <c r="E409">
        <v>9</v>
      </c>
      <c r="F409">
        <v>1</v>
      </c>
      <c r="G409">
        <v>3</v>
      </c>
      <c r="H409">
        <v>0</v>
      </c>
      <c r="I409">
        <v>0</v>
      </c>
      <c r="J409">
        <v>1</v>
      </c>
      <c r="K409">
        <v>0</v>
      </c>
      <c r="L409">
        <v>0</v>
      </c>
      <c r="M409">
        <v>0</v>
      </c>
      <c r="N409">
        <v>10</v>
      </c>
    </row>
    <row r="410" spans="1:14" x14ac:dyDescent="0.2">
      <c r="A410">
        <v>409</v>
      </c>
      <c r="B410">
        <v>101</v>
      </c>
      <c r="C410">
        <v>1</v>
      </c>
      <c r="D410" t="str">
        <f>HLOOKUP(Dados!C410,'Variáveis e códigos'!$C$4:$F$5,2,FALSE)</f>
        <v>Masculino</v>
      </c>
      <c r="E410">
        <v>6</v>
      </c>
      <c r="F410">
        <v>1</v>
      </c>
      <c r="G410">
        <v>1</v>
      </c>
      <c r="H410">
        <v>0</v>
      </c>
      <c r="I410">
        <v>0</v>
      </c>
      <c r="J410">
        <v>2</v>
      </c>
      <c r="K410">
        <v>0</v>
      </c>
      <c r="L410">
        <v>0</v>
      </c>
      <c r="M410">
        <v>0</v>
      </c>
      <c r="N410">
        <v>8</v>
      </c>
    </row>
    <row r="411" spans="1:14" x14ac:dyDescent="0.2">
      <c r="A411">
        <v>410</v>
      </c>
      <c r="B411">
        <v>101</v>
      </c>
      <c r="C411">
        <v>2</v>
      </c>
      <c r="D411" t="str">
        <f>HLOOKUP(Dados!C411,'Variáveis e códigos'!$C$4:$F$5,2,FALSE)</f>
        <v>Feminino</v>
      </c>
      <c r="E411">
        <v>8</v>
      </c>
      <c r="F411">
        <v>1</v>
      </c>
      <c r="G411">
        <v>2</v>
      </c>
      <c r="H411">
        <v>0</v>
      </c>
      <c r="I411">
        <v>0</v>
      </c>
      <c r="J411">
        <v>2</v>
      </c>
      <c r="K411">
        <v>1</v>
      </c>
      <c r="L411">
        <v>0</v>
      </c>
      <c r="M411">
        <v>0</v>
      </c>
      <c r="N411">
        <v>8</v>
      </c>
    </row>
    <row r="412" spans="1:14" x14ac:dyDescent="0.2">
      <c r="A412">
        <v>411</v>
      </c>
      <c r="B412">
        <v>101</v>
      </c>
      <c r="C412">
        <v>2</v>
      </c>
      <c r="D412" t="str">
        <f>HLOOKUP(Dados!C412,'Variáveis e códigos'!$C$4:$F$5,2,FALSE)</f>
        <v>Feminino</v>
      </c>
      <c r="E412">
        <v>6</v>
      </c>
      <c r="F412">
        <v>1</v>
      </c>
      <c r="G412">
        <v>2</v>
      </c>
      <c r="H412">
        <v>2</v>
      </c>
      <c r="I412">
        <v>0</v>
      </c>
      <c r="J412">
        <v>2</v>
      </c>
      <c r="K412">
        <v>0</v>
      </c>
      <c r="L412">
        <v>0</v>
      </c>
      <c r="M412">
        <v>0</v>
      </c>
      <c r="N412">
        <v>8</v>
      </c>
    </row>
    <row r="413" spans="1:14" x14ac:dyDescent="0.2">
      <c r="A413">
        <v>412</v>
      </c>
      <c r="B413">
        <v>101</v>
      </c>
      <c r="C413">
        <v>1</v>
      </c>
      <c r="D413" t="str">
        <f>HLOOKUP(Dados!C413,'Variáveis e códigos'!$C$4:$F$5,2,FALSE)</f>
        <v>Masculino</v>
      </c>
      <c r="E413">
        <v>7</v>
      </c>
      <c r="F413">
        <v>1</v>
      </c>
      <c r="G413">
        <v>1</v>
      </c>
      <c r="H413">
        <v>2</v>
      </c>
      <c r="I413">
        <v>1</v>
      </c>
      <c r="J413">
        <v>1</v>
      </c>
      <c r="K413">
        <v>0</v>
      </c>
      <c r="L413">
        <v>1</v>
      </c>
      <c r="M413">
        <v>2</v>
      </c>
      <c r="N413">
        <v>7</v>
      </c>
    </row>
    <row r="414" spans="1:14" x14ac:dyDescent="0.2">
      <c r="A414">
        <v>413</v>
      </c>
      <c r="B414">
        <v>101</v>
      </c>
      <c r="C414">
        <v>1</v>
      </c>
      <c r="D414" t="str">
        <f>HLOOKUP(Dados!C414,'Variáveis e códigos'!$C$4:$F$5,2,FALSE)</f>
        <v>Masculino</v>
      </c>
      <c r="E414">
        <v>8</v>
      </c>
      <c r="F414">
        <v>1</v>
      </c>
      <c r="G414">
        <v>3</v>
      </c>
      <c r="H414">
        <v>0</v>
      </c>
      <c r="I414">
        <v>0</v>
      </c>
      <c r="J414">
        <v>2</v>
      </c>
      <c r="K414">
        <v>0</v>
      </c>
      <c r="L414">
        <v>0</v>
      </c>
      <c r="M414">
        <v>0</v>
      </c>
      <c r="N414">
        <v>7</v>
      </c>
    </row>
    <row r="415" spans="1:14" x14ac:dyDescent="0.2">
      <c r="A415">
        <v>414</v>
      </c>
      <c r="B415">
        <v>101</v>
      </c>
      <c r="C415">
        <v>2</v>
      </c>
      <c r="D415" t="str">
        <f>HLOOKUP(Dados!C415,'Variáveis e códigos'!$C$4:$F$5,2,FALSE)</f>
        <v>Feminino</v>
      </c>
      <c r="E415">
        <v>9</v>
      </c>
      <c r="F415">
        <v>1</v>
      </c>
      <c r="G415">
        <v>2</v>
      </c>
      <c r="H415">
        <v>1</v>
      </c>
      <c r="I415">
        <v>0</v>
      </c>
      <c r="J415">
        <v>2</v>
      </c>
      <c r="K415">
        <v>0</v>
      </c>
      <c r="L415">
        <v>0</v>
      </c>
      <c r="M415">
        <v>0</v>
      </c>
      <c r="N415">
        <v>9</v>
      </c>
    </row>
    <row r="416" spans="1:14" x14ac:dyDescent="0.2">
      <c r="A416">
        <v>415</v>
      </c>
      <c r="B416">
        <v>101</v>
      </c>
      <c r="C416">
        <v>1</v>
      </c>
      <c r="D416" t="str">
        <f>HLOOKUP(Dados!C416,'Variáveis e códigos'!$C$4:$F$5,2,FALSE)</f>
        <v>Masculino</v>
      </c>
      <c r="E416">
        <v>6</v>
      </c>
      <c r="F416">
        <v>1</v>
      </c>
      <c r="G416">
        <v>2</v>
      </c>
      <c r="H416">
        <v>0</v>
      </c>
      <c r="I416">
        <v>0</v>
      </c>
      <c r="J416">
        <v>2</v>
      </c>
      <c r="K416">
        <v>0</v>
      </c>
      <c r="L416">
        <v>0</v>
      </c>
      <c r="M416">
        <v>0</v>
      </c>
      <c r="N416">
        <v>10</v>
      </c>
    </row>
    <row r="417" spans="1:14" x14ac:dyDescent="0.2">
      <c r="A417">
        <v>416</v>
      </c>
      <c r="B417">
        <v>101</v>
      </c>
      <c r="C417">
        <v>2</v>
      </c>
      <c r="D417" t="str">
        <f>HLOOKUP(Dados!C417,'Variáveis e códigos'!$C$4:$F$5,2,FALSE)</f>
        <v>Feminino</v>
      </c>
      <c r="E417">
        <v>8</v>
      </c>
      <c r="F417">
        <v>1</v>
      </c>
      <c r="G417">
        <v>1</v>
      </c>
      <c r="H417">
        <v>2</v>
      </c>
      <c r="I417">
        <v>1</v>
      </c>
      <c r="J417">
        <v>2</v>
      </c>
      <c r="K417">
        <v>0</v>
      </c>
      <c r="L417">
        <v>0</v>
      </c>
      <c r="M417">
        <v>0</v>
      </c>
      <c r="N417">
        <v>9</v>
      </c>
    </row>
    <row r="418" spans="1:14" x14ac:dyDescent="0.2">
      <c r="A418">
        <v>417</v>
      </c>
      <c r="B418">
        <v>101</v>
      </c>
      <c r="C418">
        <v>1</v>
      </c>
      <c r="D418" t="str">
        <f>HLOOKUP(Dados!C418,'Variáveis e códigos'!$C$4:$F$5,2,FALSE)</f>
        <v>Masculino</v>
      </c>
      <c r="E418">
        <v>6</v>
      </c>
      <c r="F418">
        <v>1</v>
      </c>
      <c r="G418">
        <v>2</v>
      </c>
      <c r="H418">
        <v>0</v>
      </c>
      <c r="I418">
        <v>0</v>
      </c>
      <c r="J418">
        <v>2</v>
      </c>
      <c r="K418">
        <v>0</v>
      </c>
      <c r="L418">
        <v>0</v>
      </c>
      <c r="M418">
        <v>1</v>
      </c>
      <c r="N418">
        <v>10</v>
      </c>
    </row>
    <row r="419" spans="1:14" x14ac:dyDescent="0.2">
      <c r="A419">
        <v>418</v>
      </c>
      <c r="B419">
        <v>101</v>
      </c>
      <c r="C419">
        <v>1</v>
      </c>
      <c r="D419" t="str">
        <f>HLOOKUP(Dados!C419,'Variáveis e códigos'!$C$4:$F$5,2,FALSE)</f>
        <v>Masculino</v>
      </c>
      <c r="E419">
        <v>9</v>
      </c>
      <c r="F419">
        <v>1</v>
      </c>
      <c r="G419">
        <v>2</v>
      </c>
      <c r="H419">
        <v>0</v>
      </c>
      <c r="I419">
        <v>0</v>
      </c>
      <c r="J419">
        <v>2</v>
      </c>
      <c r="K419">
        <v>0</v>
      </c>
      <c r="L419">
        <v>0</v>
      </c>
      <c r="M419">
        <v>0</v>
      </c>
      <c r="N419">
        <v>8</v>
      </c>
    </row>
    <row r="420" spans="1:14" x14ac:dyDescent="0.2">
      <c r="A420">
        <v>419</v>
      </c>
      <c r="B420">
        <v>101</v>
      </c>
      <c r="C420">
        <v>1</v>
      </c>
      <c r="D420" t="str">
        <f>HLOOKUP(Dados!C420,'Variáveis e códigos'!$C$4:$F$5,2,FALSE)</f>
        <v>Masculino</v>
      </c>
      <c r="E420">
        <v>6</v>
      </c>
      <c r="F420">
        <v>1</v>
      </c>
      <c r="G420">
        <v>1</v>
      </c>
      <c r="H420">
        <v>1</v>
      </c>
      <c r="I420">
        <v>0</v>
      </c>
      <c r="J420">
        <v>2</v>
      </c>
      <c r="K420">
        <v>0</v>
      </c>
      <c r="L420">
        <v>0</v>
      </c>
      <c r="M420">
        <v>0</v>
      </c>
      <c r="N420">
        <v>8</v>
      </c>
    </row>
    <row r="421" spans="1:14" x14ac:dyDescent="0.2">
      <c r="A421">
        <v>420</v>
      </c>
      <c r="B421">
        <v>101</v>
      </c>
      <c r="C421">
        <v>1</v>
      </c>
      <c r="D421" t="str">
        <f>HLOOKUP(Dados!C421,'Variáveis e códigos'!$C$4:$F$5,2,FALSE)</f>
        <v>Masculino</v>
      </c>
      <c r="E421">
        <v>9</v>
      </c>
      <c r="F421">
        <v>1</v>
      </c>
      <c r="G421">
        <v>3</v>
      </c>
      <c r="H421">
        <v>1</v>
      </c>
      <c r="I421">
        <v>0</v>
      </c>
      <c r="J421">
        <v>1</v>
      </c>
      <c r="K421">
        <v>1</v>
      </c>
      <c r="L421">
        <v>0</v>
      </c>
      <c r="M421">
        <v>0</v>
      </c>
      <c r="N421">
        <v>8</v>
      </c>
    </row>
    <row r="422" spans="1:14" x14ac:dyDescent="0.2">
      <c r="A422">
        <v>421</v>
      </c>
      <c r="B422">
        <v>101</v>
      </c>
      <c r="C422">
        <v>1</v>
      </c>
      <c r="D422" t="str">
        <f>HLOOKUP(Dados!C422,'Variáveis e códigos'!$C$4:$F$5,2,FALSE)</f>
        <v>Masculino</v>
      </c>
      <c r="E422">
        <v>7</v>
      </c>
      <c r="F422">
        <v>1</v>
      </c>
      <c r="G422">
        <v>1</v>
      </c>
      <c r="H422">
        <v>1</v>
      </c>
      <c r="I422">
        <v>0</v>
      </c>
      <c r="J422">
        <v>2</v>
      </c>
      <c r="K422">
        <v>0</v>
      </c>
      <c r="L422">
        <v>0</v>
      </c>
      <c r="M422">
        <v>0</v>
      </c>
      <c r="N422">
        <v>8</v>
      </c>
    </row>
    <row r="423" spans="1:14" x14ac:dyDescent="0.2">
      <c r="A423">
        <v>422</v>
      </c>
      <c r="B423">
        <v>101</v>
      </c>
      <c r="C423">
        <v>1</v>
      </c>
      <c r="D423" t="str">
        <f>HLOOKUP(Dados!C423,'Variáveis e códigos'!$C$4:$F$5,2,FALSE)</f>
        <v>Masculino</v>
      </c>
      <c r="E423">
        <v>7</v>
      </c>
      <c r="F423">
        <v>1</v>
      </c>
      <c r="G423">
        <v>2</v>
      </c>
      <c r="H423">
        <v>1</v>
      </c>
      <c r="I423">
        <v>1</v>
      </c>
      <c r="J423">
        <v>2</v>
      </c>
      <c r="K423">
        <v>1</v>
      </c>
      <c r="L423">
        <v>0</v>
      </c>
      <c r="M423">
        <v>1</v>
      </c>
      <c r="N423">
        <v>9</v>
      </c>
    </row>
    <row r="424" spans="1:14" x14ac:dyDescent="0.2">
      <c r="A424">
        <v>423</v>
      </c>
      <c r="B424">
        <v>101</v>
      </c>
      <c r="C424">
        <v>1</v>
      </c>
      <c r="D424" t="str">
        <f>HLOOKUP(Dados!C424,'Variáveis e códigos'!$C$4:$F$5,2,FALSE)</f>
        <v>Masculino</v>
      </c>
      <c r="E424">
        <v>6</v>
      </c>
      <c r="F424">
        <v>1</v>
      </c>
      <c r="G424">
        <v>1</v>
      </c>
      <c r="H424">
        <v>2</v>
      </c>
      <c r="I424">
        <v>1</v>
      </c>
      <c r="J424">
        <v>1</v>
      </c>
      <c r="K424">
        <v>1</v>
      </c>
      <c r="L424">
        <v>0</v>
      </c>
      <c r="M424">
        <v>0</v>
      </c>
      <c r="N424">
        <v>8</v>
      </c>
    </row>
    <row r="425" spans="1:14" x14ac:dyDescent="0.2">
      <c r="A425">
        <v>424</v>
      </c>
      <c r="B425">
        <v>101</v>
      </c>
      <c r="C425">
        <v>1</v>
      </c>
      <c r="D425" t="str">
        <f>HLOOKUP(Dados!C425,'Variáveis e códigos'!$C$4:$F$5,2,FALSE)</f>
        <v>Masculino</v>
      </c>
      <c r="E425">
        <v>6</v>
      </c>
      <c r="F425">
        <v>1</v>
      </c>
      <c r="G425">
        <v>2</v>
      </c>
      <c r="H425">
        <v>1</v>
      </c>
      <c r="I425">
        <v>1</v>
      </c>
      <c r="J425">
        <v>2</v>
      </c>
      <c r="K425">
        <v>0</v>
      </c>
      <c r="L425">
        <v>1</v>
      </c>
      <c r="M425">
        <v>1</v>
      </c>
      <c r="N425">
        <v>9</v>
      </c>
    </row>
    <row r="426" spans="1:14" x14ac:dyDescent="0.2">
      <c r="A426">
        <v>425</v>
      </c>
      <c r="B426">
        <v>101</v>
      </c>
      <c r="C426">
        <v>1</v>
      </c>
      <c r="D426" t="str">
        <f>HLOOKUP(Dados!C426,'Variáveis e códigos'!$C$4:$F$5,2,FALSE)</f>
        <v>Masculino</v>
      </c>
      <c r="E426">
        <v>10</v>
      </c>
      <c r="F426">
        <v>1</v>
      </c>
      <c r="G426">
        <v>1</v>
      </c>
      <c r="H426">
        <v>0</v>
      </c>
      <c r="I426">
        <v>0</v>
      </c>
      <c r="J426">
        <v>2</v>
      </c>
      <c r="K426">
        <v>0</v>
      </c>
      <c r="L426">
        <v>0</v>
      </c>
      <c r="M426">
        <v>0</v>
      </c>
      <c r="N426">
        <v>9</v>
      </c>
    </row>
    <row r="427" spans="1:14" x14ac:dyDescent="0.2">
      <c r="A427">
        <v>426</v>
      </c>
      <c r="B427">
        <v>101</v>
      </c>
      <c r="C427">
        <v>1</v>
      </c>
      <c r="D427" t="str">
        <f>HLOOKUP(Dados!C427,'Variáveis e códigos'!$C$4:$F$5,2,FALSE)</f>
        <v>Masculino</v>
      </c>
      <c r="E427">
        <v>7</v>
      </c>
      <c r="F427">
        <v>1</v>
      </c>
      <c r="G427">
        <v>2</v>
      </c>
      <c r="H427">
        <v>0</v>
      </c>
      <c r="I427">
        <v>0</v>
      </c>
      <c r="J427">
        <v>2</v>
      </c>
      <c r="K427">
        <v>0</v>
      </c>
      <c r="L427">
        <v>0</v>
      </c>
      <c r="M427">
        <v>0</v>
      </c>
      <c r="N427">
        <v>9</v>
      </c>
    </row>
    <row r="428" spans="1:14" x14ac:dyDescent="0.2">
      <c r="A428">
        <v>427</v>
      </c>
      <c r="B428">
        <v>101</v>
      </c>
      <c r="C428">
        <v>2</v>
      </c>
      <c r="D428" t="str">
        <f>HLOOKUP(Dados!C428,'Variáveis e códigos'!$C$4:$F$5,2,FALSE)</f>
        <v>Feminino</v>
      </c>
      <c r="E428">
        <v>9</v>
      </c>
      <c r="F428">
        <v>1</v>
      </c>
      <c r="G428">
        <v>2</v>
      </c>
      <c r="H428">
        <v>0</v>
      </c>
      <c r="I428">
        <v>0</v>
      </c>
      <c r="J428">
        <v>2</v>
      </c>
      <c r="K428">
        <v>0</v>
      </c>
      <c r="L428">
        <v>0</v>
      </c>
      <c r="M428">
        <v>1</v>
      </c>
      <c r="N428">
        <v>8</v>
      </c>
    </row>
    <row r="429" spans="1:14" x14ac:dyDescent="0.2">
      <c r="A429">
        <v>428</v>
      </c>
      <c r="B429">
        <v>101</v>
      </c>
      <c r="C429">
        <v>1</v>
      </c>
      <c r="D429" t="str">
        <f>HLOOKUP(Dados!C429,'Variáveis e códigos'!$C$4:$F$5,2,FALSE)</f>
        <v>Masculino</v>
      </c>
      <c r="E429">
        <v>7</v>
      </c>
      <c r="F429">
        <v>1</v>
      </c>
      <c r="G429">
        <v>3</v>
      </c>
      <c r="H429">
        <v>0</v>
      </c>
      <c r="I429">
        <v>0</v>
      </c>
      <c r="J429">
        <v>2</v>
      </c>
      <c r="K429">
        <v>0</v>
      </c>
      <c r="L429">
        <v>0</v>
      </c>
      <c r="M429">
        <v>0</v>
      </c>
      <c r="N429">
        <v>8</v>
      </c>
    </row>
    <row r="430" spans="1:14" x14ac:dyDescent="0.2">
      <c r="A430">
        <v>429</v>
      </c>
      <c r="B430">
        <v>101</v>
      </c>
      <c r="C430">
        <v>1</v>
      </c>
      <c r="D430" t="str">
        <f>HLOOKUP(Dados!C430,'Variáveis e códigos'!$C$4:$F$5,2,FALSE)</f>
        <v>Masculino</v>
      </c>
      <c r="E430">
        <v>7</v>
      </c>
      <c r="F430">
        <v>1</v>
      </c>
      <c r="G430">
        <v>1</v>
      </c>
      <c r="H430">
        <v>2</v>
      </c>
      <c r="I430">
        <v>2</v>
      </c>
      <c r="J430">
        <v>1</v>
      </c>
      <c r="K430">
        <v>2</v>
      </c>
      <c r="L430">
        <v>0</v>
      </c>
      <c r="M430">
        <v>0</v>
      </c>
      <c r="N430">
        <v>10</v>
      </c>
    </row>
    <row r="431" spans="1:14" x14ac:dyDescent="0.2">
      <c r="A431">
        <v>430</v>
      </c>
      <c r="B431">
        <v>101</v>
      </c>
      <c r="C431">
        <v>2</v>
      </c>
      <c r="D431" t="str">
        <f>HLOOKUP(Dados!C431,'Variáveis e códigos'!$C$4:$F$5,2,FALSE)</f>
        <v>Feminino</v>
      </c>
      <c r="E431">
        <v>7</v>
      </c>
      <c r="F431">
        <v>1</v>
      </c>
      <c r="G431">
        <v>1</v>
      </c>
      <c r="H431">
        <v>0</v>
      </c>
      <c r="I431">
        <v>0</v>
      </c>
      <c r="J431">
        <v>2</v>
      </c>
      <c r="K431">
        <v>0</v>
      </c>
      <c r="L431">
        <v>2</v>
      </c>
      <c r="M431">
        <v>2</v>
      </c>
      <c r="N431">
        <v>8</v>
      </c>
    </row>
    <row r="432" spans="1:14" x14ac:dyDescent="0.2">
      <c r="A432">
        <v>431</v>
      </c>
      <c r="B432">
        <v>101</v>
      </c>
      <c r="C432">
        <v>2</v>
      </c>
      <c r="D432" t="str">
        <f>HLOOKUP(Dados!C432,'Variáveis e códigos'!$C$4:$F$5,2,FALSE)</f>
        <v>Feminino</v>
      </c>
      <c r="E432">
        <v>8</v>
      </c>
      <c r="F432">
        <v>1</v>
      </c>
      <c r="G432">
        <v>1</v>
      </c>
      <c r="H432">
        <v>0</v>
      </c>
      <c r="I432">
        <v>0</v>
      </c>
      <c r="J432">
        <v>2</v>
      </c>
      <c r="K432">
        <v>0</v>
      </c>
      <c r="L432">
        <v>0</v>
      </c>
      <c r="M432">
        <v>0</v>
      </c>
      <c r="N432">
        <v>9</v>
      </c>
    </row>
    <row r="433" spans="1:14" x14ac:dyDescent="0.2">
      <c r="A433">
        <v>432</v>
      </c>
      <c r="B433">
        <v>101</v>
      </c>
      <c r="C433">
        <v>2</v>
      </c>
      <c r="D433" t="str">
        <f>HLOOKUP(Dados!C433,'Variáveis e códigos'!$C$4:$F$5,2,FALSE)</f>
        <v>Feminino</v>
      </c>
      <c r="E433">
        <v>9</v>
      </c>
      <c r="F433">
        <v>1</v>
      </c>
      <c r="G433">
        <v>99</v>
      </c>
      <c r="H433">
        <v>1</v>
      </c>
      <c r="I433">
        <v>1</v>
      </c>
      <c r="J433">
        <v>2</v>
      </c>
      <c r="K433">
        <v>0</v>
      </c>
      <c r="L433">
        <v>0</v>
      </c>
      <c r="M433">
        <v>1</v>
      </c>
      <c r="N433">
        <v>8</v>
      </c>
    </row>
    <row r="434" spans="1:14" x14ac:dyDescent="0.2">
      <c r="A434">
        <v>433</v>
      </c>
      <c r="B434">
        <v>101</v>
      </c>
      <c r="C434">
        <v>2</v>
      </c>
      <c r="D434" t="str">
        <f>HLOOKUP(Dados!C434,'Variáveis e códigos'!$C$4:$F$5,2,FALSE)</f>
        <v>Feminino</v>
      </c>
      <c r="E434">
        <v>10</v>
      </c>
      <c r="F434">
        <v>1</v>
      </c>
      <c r="G434">
        <v>2</v>
      </c>
      <c r="H434">
        <v>0</v>
      </c>
      <c r="I434">
        <v>0</v>
      </c>
      <c r="J434">
        <v>2</v>
      </c>
      <c r="K434">
        <v>0</v>
      </c>
      <c r="L434">
        <v>0</v>
      </c>
      <c r="M434">
        <v>1</v>
      </c>
      <c r="N434">
        <v>8</v>
      </c>
    </row>
    <row r="435" spans="1:14" x14ac:dyDescent="0.2">
      <c r="A435">
        <v>434</v>
      </c>
      <c r="B435">
        <v>101</v>
      </c>
      <c r="C435">
        <v>2</v>
      </c>
      <c r="D435" t="str">
        <f>HLOOKUP(Dados!C435,'Variáveis e códigos'!$C$4:$F$5,2,FALSE)</f>
        <v>Feminino</v>
      </c>
      <c r="E435">
        <v>4</v>
      </c>
      <c r="F435">
        <v>0</v>
      </c>
      <c r="G435">
        <v>2</v>
      </c>
      <c r="H435">
        <v>0</v>
      </c>
      <c r="I435">
        <v>0</v>
      </c>
      <c r="J435">
        <v>2</v>
      </c>
      <c r="K435">
        <v>0</v>
      </c>
      <c r="L435">
        <v>0</v>
      </c>
      <c r="M435">
        <v>0</v>
      </c>
      <c r="N435">
        <v>7</v>
      </c>
    </row>
    <row r="436" spans="1:14" x14ac:dyDescent="0.2">
      <c r="A436">
        <v>435</v>
      </c>
      <c r="B436">
        <v>101</v>
      </c>
      <c r="C436">
        <v>1</v>
      </c>
      <c r="D436" t="str">
        <f>HLOOKUP(Dados!C436,'Variáveis e códigos'!$C$4:$F$5,2,FALSE)</f>
        <v>Masculino</v>
      </c>
      <c r="E436">
        <v>9</v>
      </c>
      <c r="F436">
        <v>1</v>
      </c>
      <c r="G436">
        <v>2</v>
      </c>
      <c r="H436">
        <v>2</v>
      </c>
      <c r="I436">
        <v>1</v>
      </c>
      <c r="J436">
        <v>2</v>
      </c>
      <c r="K436">
        <v>1</v>
      </c>
      <c r="L436">
        <v>0</v>
      </c>
      <c r="M436">
        <v>0</v>
      </c>
      <c r="N436">
        <v>8</v>
      </c>
    </row>
    <row r="437" spans="1:14" x14ac:dyDescent="0.2">
      <c r="A437">
        <v>436</v>
      </c>
      <c r="B437">
        <v>101</v>
      </c>
      <c r="C437">
        <v>1</v>
      </c>
      <c r="D437" t="str">
        <f>HLOOKUP(Dados!C437,'Variáveis e códigos'!$C$4:$F$5,2,FALSE)</f>
        <v>Masculino</v>
      </c>
      <c r="E437">
        <v>7</v>
      </c>
      <c r="F437">
        <v>1</v>
      </c>
      <c r="G437">
        <v>3</v>
      </c>
      <c r="H437">
        <v>0</v>
      </c>
      <c r="I437">
        <v>0</v>
      </c>
      <c r="J437">
        <v>2</v>
      </c>
      <c r="K437">
        <v>0</v>
      </c>
      <c r="L437">
        <v>0</v>
      </c>
      <c r="M437">
        <v>0</v>
      </c>
      <c r="N437">
        <v>9</v>
      </c>
    </row>
    <row r="438" spans="1:14" x14ac:dyDescent="0.2">
      <c r="A438">
        <v>437</v>
      </c>
      <c r="B438">
        <v>101</v>
      </c>
      <c r="C438">
        <v>2</v>
      </c>
      <c r="D438" t="str">
        <f>HLOOKUP(Dados!C438,'Variáveis e códigos'!$C$4:$F$5,2,FALSE)</f>
        <v>Feminino</v>
      </c>
      <c r="E438">
        <v>8</v>
      </c>
      <c r="F438">
        <v>1</v>
      </c>
      <c r="G438">
        <v>1</v>
      </c>
      <c r="H438">
        <v>0</v>
      </c>
      <c r="I438">
        <v>0</v>
      </c>
      <c r="J438">
        <v>2</v>
      </c>
      <c r="K438">
        <v>0</v>
      </c>
      <c r="L438">
        <v>0</v>
      </c>
      <c r="M438">
        <v>0</v>
      </c>
      <c r="N438">
        <v>8</v>
      </c>
    </row>
    <row r="439" spans="1:14" x14ac:dyDescent="0.2">
      <c r="A439">
        <v>438</v>
      </c>
      <c r="B439">
        <v>101</v>
      </c>
      <c r="C439">
        <v>1</v>
      </c>
      <c r="D439" t="str">
        <f>HLOOKUP(Dados!C439,'Variáveis e códigos'!$C$4:$F$5,2,FALSE)</f>
        <v>Masculino</v>
      </c>
      <c r="E439">
        <v>6</v>
      </c>
      <c r="F439">
        <v>1</v>
      </c>
      <c r="G439">
        <v>2</v>
      </c>
      <c r="H439">
        <v>0</v>
      </c>
      <c r="I439">
        <v>1</v>
      </c>
      <c r="J439">
        <v>2</v>
      </c>
      <c r="K439">
        <v>0</v>
      </c>
      <c r="L439">
        <v>2</v>
      </c>
      <c r="M439">
        <v>2</v>
      </c>
      <c r="N439">
        <v>8</v>
      </c>
    </row>
    <row r="440" spans="1:14" x14ac:dyDescent="0.2">
      <c r="A440">
        <v>439</v>
      </c>
      <c r="B440">
        <v>101</v>
      </c>
      <c r="C440">
        <v>1</v>
      </c>
      <c r="D440" t="str">
        <f>HLOOKUP(Dados!C440,'Variáveis e códigos'!$C$4:$F$5,2,FALSE)</f>
        <v>Masculino</v>
      </c>
      <c r="E440">
        <v>8</v>
      </c>
      <c r="F440">
        <v>1</v>
      </c>
      <c r="G440">
        <v>2</v>
      </c>
      <c r="H440">
        <v>2</v>
      </c>
      <c r="I440">
        <v>1</v>
      </c>
      <c r="J440">
        <v>1</v>
      </c>
      <c r="K440">
        <v>1</v>
      </c>
      <c r="L440">
        <v>0</v>
      </c>
      <c r="M440">
        <v>0</v>
      </c>
      <c r="N440">
        <v>9</v>
      </c>
    </row>
    <row r="441" spans="1:14" x14ac:dyDescent="0.2">
      <c r="A441">
        <v>440</v>
      </c>
      <c r="B441">
        <v>101</v>
      </c>
      <c r="C441">
        <v>1</v>
      </c>
      <c r="D441" t="str">
        <f>HLOOKUP(Dados!C441,'Variáveis e códigos'!$C$4:$F$5,2,FALSE)</f>
        <v>Masculino</v>
      </c>
      <c r="E441">
        <v>9</v>
      </c>
      <c r="F441">
        <v>1</v>
      </c>
      <c r="G441">
        <v>1</v>
      </c>
      <c r="H441">
        <v>0</v>
      </c>
      <c r="I441">
        <v>0</v>
      </c>
      <c r="J441">
        <v>2</v>
      </c>
      <c r="K441">
        <v>0</v>
      </c>
      <c r="L441">
        <v>0</v>
      </c>
      <c r="M441">
        <v>1</v>
      </c>
      <c r="N441">
        <v>10</v>
      </c>
    </row>
    <row r="442" spans="1:14" x14ac:dyDescent="0.2">
      <c r="A442">
        <v>441</v>
      </c>
      <c r="B442">
        <v>101</v>
      </c>
      <c r="C442">
        <v>2</v>
      </c>
      <c r="D442" t="str">
        <f>HLOOKUP(Dados!C442,'Variáveis e códigos'!$C$4:$F$5,2,FALSE)</f>
        <v>Feminino</v>
      </c>
      <c r="E442">
        <v>10</v>
      </c>
      <c r="F442">
        <v>1</v>
      </c>
      <c r="G442">
        <v>1</v>
      </c>
      <c r="H442">
        <v>2</v>
      </c>
      <c r="I442">
        <v>1</v>
      </c>
      <c r="J442">
        <v>2</v>
      </c>
      <c r="K442">
        <v>1</v>
      </c>
      <c r="L442">
        <v>1</v>
      </c>
      <c r="M442">
        <v>2</v>
      </c>
      <c r="N442">
        <v>8</v>
      </c>
    </row>
    <row r="443" spans="1:14" x14ac:dyDescent="0.2">
      <c r="A443">
        <v>442</v>
      </c>
      <c r="B443">
        <v>101</v>
      </c>
      <c r="C443">
        <v>1</v>
      </c>
      <c r="D443" t="str">
        <f>HLOOKUP(Dados!C443,'Variáveis e códigos'!$C$4:$F$5,2,FALSE)</f>
        <v>Masculino</v>
      </c>
      <c r="E443">
        <v>5</v>
      </c>
      <c r="F443">
        <v>1</v>
      </c>
      <c r="G443">
        <v>2</v>
      </c>
      <c r="H443">
        <v>2</v>
      </c>
      <c r="I443">
        <v>1</v>
      </c>
      <c r="J443">
        <v>1</v>
      </c>
      <c r="K443">
        <v>1</v>
      </c>
      <c r="L443">
        <v>1</v>
      </c>
      <c r="M443">
        <v>1</v>
      </c>
      <c r="N443">
        <v>9</v>
      </c>
    </row>
    <row r="444" spans="1:14" x14ac:dyDescent="0.2">
      <c r="A444">
        <v>443</v>
      </c>
      <c r="B444">
        <v>101</v>
      </c>
      <c r="C444">
        <v>1</v>
      </c>
      <c r="D444" t="str">
        <f>HLOOKUP(Dados!C444,'Variáveis e códigos'!$C$4:$F$5,2,FALSE)</f>
        <v>Masculino</v>
      </c>
      <c r="E444">
        <v>6</v>
      </c>
      <c r="F444">
        <v>1</v>
      </c>
      <c r="G444">
        <v>3</v>
      </c>
      <c r="H444">
        <v>1</v>
      </c>
      <c r="I444">
        <v>0</v>
      </c>
      <c r="J444">
        <v>2</v>
      </c>
      <c r="K444">
        <v>0</v>
      </c>
      <c r="L444">
        <v>0</v>
      </c>
      <c r="M444">
        <v>0</v>
      </c>
      <c r="N444">
        <v>9</v>
      </c>
    </row>
    <row r="445" spans="1:14" x14ac:dyDescent="0.2">
      <c r="A445">
        <v>444</v>
      </c>
      <c r="B445">
        <v>101</v>
      </c>
      <c r="C445">
        <v>2</v>
      </c>
      <c r="D445" t="str">
        <f>HLOOKUP(Dados!C445,'Variáveis e códigos'!$C$4:$F$5,2,FALSE)</f>
        <v>Feminino</v>
      </c>
      <c r="E445">
        <v>6</v>
      </c>
      <c r="F445">
        <v>1</v>
      </c>
      <c r="G445">
        <v>2</v>
      </c>
      <c r="H445">
        <v>2</v>
      </c>
      <c r="I445">
        <v>1</v>
      </c>
      <c r="J445">
        <v>1</v>
      </c>
      <c r="K445">
        <v>0</v>
      </c>
      <c r="L445">
        <v>0</v>
      </c>
      <c r="M445">
        <v>0</v>
      </c>
      <c r="N445">
        <v>9</v>
      </c>
    </row>
    <row r="446" spans="1:14" x14ac:dyDescent="0.2">
      <c r="A446">
        <v>445</v>
      </c>
      <c r="B446">
        <v>101</v>
      </c>
      <c r="C446">
        <v>2</v>
      </c>
      <c r="D446" t="str">
        <f>HLOOKUP(Dados!C446,'Variáveis e códigos'!$C$4:$F$5,2,FALSE)</f>
        <v>Feminino</v>
      </c>
      <c r="E446">
        <v>6</v>
      </c>
      <c r="F446">
        <v>1</v>
      </c>
      <c r="G446">
        <v>3</v>
      </c>
      <c r="H446">
        <v>2</v>
      </c>
      <c r="I446">
        <v>1</v>
      </c>
      <c r="J446">
        <v>1</v>
      </c>
      <c r="K446">
        <v>0</v>
      </c>
      <c r="L446">
        <v>0</v>
      </c>
      <c r="M446">
        <v>1</v>
      </c>
      <c r="N446">
        <v>9</v>
      </c>
    </row>
    <row r="447" spans="1:14" x14ac:dyDescent="0.2">
      <c r="A447">
        <v>446</v>
      </c>
      <c r="B447">
        <v>101</v>
      </c>
      <c r="C447">
        <v>2</v>
      </c>
      <c r="D447" t="str">
        <f>HLOOKUP(Dados!C447,'Variáveis e códigos'!$C$4:$F$5,2,FALSE)</f>
        <v>Feminino</v>
      </c>
      <c r="E447">
        <v>10</v>
      </c>
      <c r="F447">
        <v>1</v>
      </c>
      <c r="G447">
        <v>1</v>
      </c>
      <c r="H447">
        <v>0</v>
      </c>
      <c r="I447">
        <v>0</v>
      </c>
      <c r="J447">
        <v>2</v>
      </c>
      <c r="K447">
        <v>0</v>
      </c>
      <c r="L447">
        <v>0</v>
      </c>
      <c r="M447">
        <v>0</v>
      </c>
      <c r="N447">
        <v>99</v>
      </c>
    </row>
    <row r="448" spans="1:14" x14ac:dyDescent="0.2">
      <c r="A448">
        <v>447</v>
      </c>
      <c r="B448">
        <v>101</v>
      </c>
      <c r="C448">
        <v>1</v>
      </c>
      <c r="D448" t="str">
        <f>HLOOKUP(Dados!C448,'Variáveis e códigos'!$C$4:$F$5,2,FALSE)</f>
        <v>Masculino</v>
      </c>
      <c r="E448">
        <v>9</v>
      </c>
      <c r="F448">
        <v>1</v>
      </c>
      <c r="G448">
        <v>2</v>
      </c>
      <c r="H448">
        <v>1</v>
      </c>
      <c r="I448">
        <v>0</v>
      </c>
      <c r="J448">
        <v>2</v>
      </c>
      <c r="K448">
        <v>0</v>
      </c>
      <c r="L448">
        <v>0</v>
      </c>
      <c r="M448">
        <v>0</v>
      </c>
      <c r="N448">
        <v>7</v>
      </c>
    </row>
    <row r="449" spans="1:14" x14ac:dyDescent="0.2">
      <c r="A449">
        <v>448</v>
      </c>
      <c r="B449">
        <v>101</v>
      </c>
      <c r="C449">
        <v>2</v>
      </c>
      <c r="D449" t="str">
        <f>HLOOKUP(Dados!C449,'Variáveis e códigos'!$C$4:$F$5,2,FALSE)</f>
        <v>Feminino</v>
      </c>
      <c r="E449">
        <v>8</v>
      </c>
      <c r="F449">
        <v>1</v>
      </c>
      <c r="G449">
        <v>2</v>
      </c>
      <c r="H449">
        <v>1</v>
      </c>
      <c r="I449">
        <v>0</v>
      </c>
      <c r="J449">
        <v>2</v>
      </c>
      <c r="K449">
        <v>0</v>
      </c>
      <c r="L449">
        <v>0</v>
      </c>
      <c r="M449">
        <v>0</v>
      </c>
      <c r="N449">
        <v>10</v>
      </c>
    </row>
    <row r="450" spans="1:14" x14ac:dyDescent="0.2">
      <c r="A450">
        <v>449</v>
      </c>
      <c r="B450">
        <v>101</v>
      </c>
      <c r="C450">
        <v>1</v>
      </c>
      <c r="D450" t="str">
        <f>HLOOKUP(Dados!C450,'Variáveis e códigos'!$C$4:$F$5,2,FALSE)</f>
        <v>Masculino</v>
      </c>
      <c r="E450">
        <v>6</v>
      </c>
      <c r="F450">
        <v>1</v>
      </c>
      <c r="G450">
        <v>3</v>
      </c>
      <c r="H450">
        <v>1</v>
      </c>
      <c r="I450">
        <v>0</v>
      </c>
      <c r="J450">
        <v>2</v>
      </c>
      <c r="K450">
        <v>99</v>
      </c>
      <c r="L450">
        <v>1</v>
      </c>
      <c r="M450">
        <v>1</v>
      </c>
      <c r="N450">
        <v>9</v>
      </c>
    </row>
    <row r="451" spans="1:14" x14ac:dyDescent="0.2">
      <c r="A451">
        <v>450</v>
      </c>
      <c r="B451">
        <v>101</v>
      </c>
      <c r="C451">
        <v>2</v>
      </c>
      <c r="D451" t="str">
        <f>HLOOKUP(Dados!C451,'Variáveis e códigos'!$C$4:$F$5,2,FALSE)</f>
        <v>Feminino</v>
      </c>
      <c r="E451">
        <v>10</v>
      </c>
      <c r="F451">
        <v>1</v>
      </c>
      <c r="G451">
        <v>1</v>
      </c>
      <c r="H451">
        <v>1</v>
      </c>
      <c r="I451">
        <v>0</v>
      </c>
      <c r="J451">
        <v>2</v>
      </c>
      <c r="K451">
        <v>0</v>
      </c>
      <c r="L451">
        <v>1</v>
      </c>
      <c r="M451">
        <v>2</v>
      </c>
      <c r="N451">
        <v>7</v>
      </c>
    </row>
    <row r="452" spans="1:14" x14ac:dyDescent="0.2">
      <c r="A452">
        <v>451</v>
      </c>
      <c r="B452">
        <v>101</v>
      </c>
      <c r="C452">
        <v>1</v>
      </c>
      <c r="D452" t="str">
        <f>HLOOKUP(Dados!C452,'Variáveis e códigos'!$C$4:$F$5,2,FALSE)</f>
        <v>Masculino</v>
      </c>
      <c r="E452">
        <v>7</v>
      </c>
      <c r="F452">
        <v>1</v>
      </c>
      <c r="G452">
        <v>2</v>
      </c>
      <c r="H452">
        <v>0</v>
      </c>
      <c r="I452">
        <v>0</v>
      </c>
      <c r="J452">
        <v>2</v>
      </c>
      <c r="K452">
        <v>0</v>
      </c>
      <c r="L452">
        <v>0</v>
      </c>
      <c r="M452">
        <v>0</v>
      </c>
      <c r="N452">
        <v>8</v>
      </c>
    </row>
    <row r="453" spans="1:14" x14ac:dyDescent="0.2">
      <c r="A453">
        <v>452</v>
      </c>
      <c r="B453">
        <v>101</v>
      </c>
      <c r="C453">
        <v>1</v>
      </c>
      <c r="D453" t="str">
        <f>HLOOKUP(Dados!C453,'Variáveis e códigos'!$C$4:$F$5,2,FALSE)</f>
        <v>Masculino</v>
      </c>
      <c r="E453">
        <v>7</v>
      </c>
      <c r="F453">
        <v>1</v>
      </c>
      <c r="G453">
        <v>1</v>
      </c>
      <c r="H453">
        <v>1</v>
      </c>
      <c r="I453">
        <v>0</v>
      </c>
      <c r="J453">
        <v>2</v>
      </c>
      <c r="K453">
        <v>1</v>
      </c>
      <c r="L453">
        <v>0</v>
      </c>
      <c r="M453">
        <v>1</v>
      </c>
      <c r="N453">
        <v>8</v>
      </c>
    </row>
    <row r="454" spans="1:14" x14ac:dyDescent="0.2">
      <c r="A454">
        <v>453</v>
      </c>
      <c r="B454">
        <v>101</v>
      </c>
      <c r="C454">
        <v>1</v>
      </c>
      <c r="D454" t="str">
        <f>HLOOKUP(Dados!C454,'Variáveis e códigos'!$C$4:$F$5,2,FALSE)</f>
        <v>Masculino</v>
      </c>
      <c r="E454">
        <v>7</v>
      </c>
      <c r="F454">
        <v>1</v>
      </c>
      <c r="G454">
        <v>1</v>
      </c>
      <c r="H454">
        <v>2</v>
      </c>
      <c r="I454">
        <v>2</v>
      </c>
      <c r="J454">
        <v>1</v>
      </c>
      <c r="K454">
        <v>99</v>
      </c>
      <c r="L454">
        <v>1</v>
      </c>
      <c r="M454">
        <v>1</v>
      </c>
      <c r="N454">
        <v>9</v>
      </c>
    </row>
    <row r="455" spans="1:14" x14ac:dyDescent="0.2">
      <c r="A455">
        <v>454</v>
      </c>
      <c r="B455">
        <v>101</v>
      </c>
      <c r="C455">
        <v>2</v>
      </c>
      <c r="D455" t="str">
        <f>HLOOKUP(Dados!C455,'Variáveis e códigos'!$C$4:$F$5,2,FALSE)</f>
        <v>Feminino</v>
      </c>
      <c r="E455">
        <v>8</v>
      </c>
      <c r="F455">
        <v>1</v>
      </c>
      <c r="G455">
        <v>99</v>
      </c>
      <c r="H455">
        <v>1</v>
      </c>
      <c r="I455">
        <v>0</v>
      </c>
      <c r="J455">
        <v>2</v>
      </c>
      <c r="K455">
        <v>0</v>
      </c>
      <c r="L455">
        <v>0</v>
      </c>
      <c r="M455">
        <v>0</v>
      </c>
      <c r="N455">
        <v>99</v>
      </c>
    </row>
    <row r="456" spans="1:14" x14ac:dyDescent="0.2">
      <c r="A456">
        <v>455</v>
      </c>
      <c r="B456">
        <v>101</v>
      </c>
      <c r="C456">
        <v>1</v>
      </c>
      <c r="D456" t="str">
        <f>HLOOKUP(Dados!C456,'Variáveis e códigos'!$C$4:$F$5,2,FALSE)</f>
        <v>Masculino</v>
      </c>
      <c r="E456">
        <v>6</v>
      </c>
      <c r="F456">
        <v>1</v>
      </c>
      <c r="G456">
        <v>2</v>
      </c>
      <c r="H456">
        <v>1</v>
      </c>
      <c r="I456">
        <v>1</v>
      </c>
      <c r="J456">
        <v>2</v>
      </c>
      <c r="K456">
        <v>0</v>
      </c>
      <c r="L456">
        <v>0</v>
      </c>
      <c r="M456">
        <v>0</v>
      </c>
      <c r="N456">
        <v>10</v>
      </c>
    </row>
    <row r="457" spans="1:14" x14ac:dyDescent="0.2">
      <c r="A457">
        <v>456</v>
      </c>
      <c r="B457">
        <v>101</v>
      </c>
      <c r="C457">
        <v>1</v>
      </c>
      <c r="D457" t="str">
        <f>HLOOKUP(Dados!C457,'Variáveis e códigos'!$C$4:$F$5,2,FALSE)</f>
        <v>Masculino</v>
      </c>
      <c r="E457">
        <v>6</v>
      </c>
      <c r="F457">
        <v>1</v>
      </c>
      <c r="G457">
        <v>2</v>
      </c>
      <c r="H457">
        <v>2</v>
      </c>
      <c r="I457">
        <v>1</v>
      </c>
      <c r="J457">
        <v>0</v>
      </c>
      <c r="K457">
        <v>2</v>
      </c>
      <c r="L457">
        <v>0</v>
      </c>
      <c r="M457">
        <v>0</v>
      </c>
      <c r="N457">
        <v>10</v>
      </c>
    </row>
    <row r="458" spans="1:14" x14ac:dyDescent="0.2">
      <c r="A458">
        <v>457</v>
      </c>
      <c r="B458">
        <v>101</v>
      </c>
      <c r="C458">
        <v>2</v>
      </c>
      <c r="D458" t="str">
        <f>HLOOKUP(Dados!C458,'Variáveis e códigos'!$C$4:$F$5,2,FALSE)</f>
        <v>Feminino</v>
      </c>
      <c r="E458">
        <v>7</v>
      </c>
      <c r="F458">
        <v>1</v>
      </c>
      <c r="G458">
        <v>1</v>
      </c>
      <c r="H458">
        <v>2</v>
      </c>
      <c r="I458">
        <v>0</v>
      </c>
      <c r="J458">
        <v>1</v>
      </c>
      <c r="K458">
        <v>0</v>
      </c>
      <c r="L458">
        <v>0</v>
      </c>
      <c r="M458">
        <v>0</v>
      </c>
      <c r="N458">
        <v>7</v>
      </c>
    </row>
    <row r="459" spans="1:14" x14ac:dyDescent="0.2">
      <c r="A459">
        <v>458</v>
      </c>
      <c r="B459">
        <v>101</v>
      </c>
      <c r="C459">
        <v>1</v>
      </c>
      <c r="D459" t="str">
        <f>HLOOKUP(Dados!C459,'Variáveis e códigos'!$C$4:$F$5,2,FALSE)</f>
        <v>Masculino</v>
      </c>
      <c r="E459">
        <v>5</v>
      </c>
      <c r="F459">
        <v>1</v>
      </c>
      <c r="G459">
        <v>1</v>
      </c>
      <c r="H459">
        <v>2</v>
      </c>
      <c r="I459">
        <v>1</v>
      </c>
      <c r="J459">
        <v>1</v>
      </c>
      <c r="K459">
        <v>1</v>
      </c>
      <c r="L459">
        <v>2</v>
      </c>
      <c r="M459">
        <v>1</v>
      </c>
      <c r="N459">
        <v>9</v>
      </c>
    </row>
    <row r="460" spans="1:14" x14ac:dyDescent="0.2">
      <c r="A460">
        <v>459</v>
      </c>
      <c r="B460">
        <v>101</v>
      </c>
      <c r="C460">
        <v>1</v>
      </c>
      <c r="D460" t="str">
        <f>HLOOKUP(Dados!C460,'Variáveis e códigos'!$C$4:$F$5,2,FALSE)</f>
        <v>Masculino</v>
      </c>
      <c r="E460">
        <v>8</v>
      </c>
      <c r="F460">
        <v>1</v>
      </c>
      <c r="G460">
        <v>3</v>
      </c>
      <c r="H460">
        <v>0</v>
      </c>
      <c r="I460">
        <v>0</v>
      </c>
      <c r="J460">
        <v>2</v>
      </c>
      <c r="K460">
        <v>0</v>
      </c>
      <c r="L460">
        <v>1</v>
      </c>
      <c r="M460">
        <v>0</v>
      </c>
      <c r="N460">
        <v>7</v>
      </c>
    </row>
    <row r="461" spans="1:14" x14ac:dyDescent="0.2">
      <c r="A461">
        <v>460</v>
      </c>
      <c r="B461">
        <v>101</v>
      </c>
      <c r="C461">
        <v>1</v>
      </c>
      <c r="D461" t="str">
        <f>HLOOKUP(Dados!C461,'Variáveis e códigos'!$C$4:$F$5,2,FALSE)</f>
        <v>Masculino</v>
      </c>
      <c r="E461">
        <v>8</v>
      </c>
      <c r="F461">
        <v>1</v>
      </c>
      <c r="G461">
        <v>3</v>
      </c>
      <c r="H461">
        <v>2</v>
      </c>
      <c r="I461">
        <v>1</v>
      </c>
      <c r="J461">
        <v>1</v>
      </c>
      <c r="K461">
        <v>2</v>
      </c>
      <c r="L461">
        <v>0</v>
      </c>
      <c r="M461">
        <v>0</v>
      </c>
      <c r="N461">
        <v>8</v>
      </c>
    </row>
    <row r="462" spans="1:14" x14ac:dyDescent="0.2">
      <c r="A462">
        <v>461</v>
      </c>
      <c r="B462">
        <v>101</v>
      </c>
      <c r="C462">
        <v>1</v>
      </c>
      <c r="D462" t="str">
        <f>HLOOKUP(Dados!C462,'Variáveis e códigos'!$C$4:$F$5,2,FALSE)</f>
        <v>Masculino</v>
      </c>
      <c r="E462">
        <v>6</v>
      </c>
      <c r="F462">
        <v>1</v>
      </c>
      <c r="G462">
        <v>3</v>
      </c>
      <c r="H462">
        <v>2</v>
      </c>
      <c r="I462">
        <v>1</v>
      </c>
      <c r="J462">
        <v>1</v>
      </c>
      <c r="K462">
        <v>1</v>
      </c>
      <c r="L462">
        <v>0</v>
      </c>
      <c r="M462">
        <v>1</v>
      </c>
      <c r="N462">
        <v>8</v>
      </c>
    </row>
    <row r="463" spans="1:14" x14ac:dyDescent="0.2">
      <c r="A463">
        <v>462</v>
      </c>
      <c r="B463">
        <v>101</v>
      </c>
      <c r="C463">
        <v>2</v>
      </c>
      <c r="D463" t="str">
        <f>HLOOKUP(Dados!C463,'Variáveis e códigos'!$C$4:$F$5,2,FALSE)</f>
        <v>Feminino</v>
      </c>
      <c r="E463">
        <v>9</v>
      </c>
      <c r="F463">
        <v>1</v>
      </c>
      <c r="G463">
        <v>3</v>
      </c>
      <c r="H463">
        <v>0</v>
      </c>
      <c r="I463">
        <v>0</v>
      </c>
      <c r="J463">
        <v>2</v>
      </c>
      <c r="K463">
        <v>0</v>
      </c>
      <c r="L463">
        <v>0</v>
      </c>
      <c r="M463">
        <v>2</v>
      </c>
      <c r="N463">
        <v>99</v>
      </c>
    </row>
    <row r="464" spans="1:14" x14ac:dyDescent="0.2">
      <c r="A464">
        <v>463</v>
      </c>
      <c r="B464">
        <v>101</v>
      </c>
      <c r="C464">
        <v>1</v>
      </c>
      <c r="D464" t="str">
        <f>HLOOKUP(Dados!C464,'Variáveis e códigos'!$C$4:$F$5,2,FALSE)</f>
        <v>Masculino</v>
      </c>
      <c r="E464">
        <v>9</v>
      </c>
      <c r="F464">
        <v>1</v>
      </c>
      <c r="G464">
        <v>3</v>
      </c>
      <c r="H464">
        <v>1</v>
      </c>
      <c r="I464">
        <v>0</v>
      </c>
      <c r="J464">
        <v>2</v>
      </c>
      <c r="K464">
        <v>0</v>
      </c>
      <c r="L464">
        <v>0</v>
      </c>
      <c r="M464">
        <v>0</v>
      </c>
      <c r="N464">
        <v>8</v>
      </c>
    </row>
    <row r="465" spans="1:14" x14ac:dyDescent="0.2">
      <c r="A465">
        <v>464</v>
      </c>
      <c r="B465">
        <v>101</v>
      </c>
      <c r="C465">
        <v>1</v>
      </c>
      <c r="D465" t="str">
        <f>HLOOKUP(Dados!C465,'Variáveis e códigos'!$C$4:$F$5,2,FALSE)</f>
        <v>Masculino</v>
      </c>
      <c r="E465">
        <v>8</v>
      </c>
      <c r="F465">
        <v>1</v>
      </c>
      <c r="G465">
        <v>1</v>
      </c>
      <c r="H465">
        <v>2</v>
      </c>
      <c r="I465">
        <v>1</v>
      </c>
      <c r="J465">
        <v>1</v>
      </c>
      <c r="K465">
        <v>0</v>
      </c>
      <c r="L465">
        <v>1</v>
      </c>
      <c r="M465">
        <v>0</v>
      </c>
      <c r="N465">
        <v>7</v>
      </c>
    </row>
    <row r="466" spans="1:14" x14ac:dyDescent="0.2">
      <c r="A466">
        <v>465</v>
      </c>
      <c r="B466">
        <v>101</v>
      </c>
      <c r="C466">
        <v>2</v>
      </c>
      <c r="D466" t="str">
        <f>HLOOKUP(Dados!C466,'Variáveis e códigos'!$C$4:$F$5,2,FALSE)</f>
        <v>Feminino</v>
      </c>
      <c r="E466">
        <v>6</v>
      </c>
      <c r="F466">
        <v>1</v>
      </c>
      <c r="G466">
        <v>1</v>
      </c>
      <c r="H466">
        <v>2</v>
      </c>
      <c r="I466">
        <v>1</v>
      </c>
      <c r="J466">
        <v>1</v>
      </c>
      <c r="K466">
        <v>0</v>
      </c>
      <c r="L466">
        <v>0</v>
      </c>
      <c r="M466">
        <v>1</v>
      </c>
      <c r="N466">
        <v>8</v>
      </c>
    </row>
    <row r="467" spans="1:14" x14ac:dyDescent="0.2">
      <c r="A467">
        <v>466</v>
      </c>
      <c r="B467">
        <v>101</v>
      </c>
      <c r="C467">
        <v>2</v>
      </c>
      <c r="D467" t="str">
        <f>HLOOKUP(Dados!C467,'Variáveis e códigos'!$C$4:$F$5,2,FALSE)</f>
        <v>Feminino</v>
      </c>
      <c r="E467">
        <v>9</v>
      </c>
      <c r="F467">
        <v>1</v>
      </c>
      <c r="G467">
        <v>2</v>
      </c>
      <c r="H467">
        <v>0</v>
      </c>
      <c r="I467">
        <v>0</v>
      </c>
      <c r="J467">
        <v>2</v>
      </c>
      <c r="K467">
        <v>1</v>
      </c>
      <c r="L467">
        <v>0</v>
      </c>
      <c r="M467">
        <v>0</v>
      </c>
      <c r="N467">
        <v>8</v>
      </c>
    </row>
    <row r="468" spans="1:14" x14ac:dyDescent="0.2">
      <c r="A468">
        <v>467</v>
      </c>
      <c r="B468">
        <v>101</v>
      </c>
      <c r="C468">
        <v>2</v>
      </c>
      <c r="D468" t="str">
        <f>HLOOKUP(Dados!C468,'Variáveis e códigos'!$C$4:$F$5,2,FALSE)</f>
        <v>Feminino</v>
      </c>
      <c r="E468">
        <v>6</v>
      </c>
      <c r="F468">
        <v>1</v>
      </c>
      <c r="G468">
        <v>3</v>
      </c>
      <c r="H468">
        <v>2</v>
      </c>
      <c r="I468">
        <v>1</v>
      </c>
      <c r="J468">
        <v>2</v>
      </c>
      <c r="K468">
        <v>0</v>
      </c>
      <c r="L468">
        <v>0</v>
      </c>
      <c r="M468">
        <v>2</v>
      </c>
      <c r="N468">
        <v>7</v>
      </c>
    </row>
    <row r="469" spans="1:14" x14ac:dyDescent="0.2">
      <c r="A469">
        <v>468</v>
      </c>
      <c r="B469">
        <v>101</v>
      </c>
      <c r="C469">
        <v>2</v>
      </c>
      <c r="D469" t="str">
        <f>HLOOKUP(Dados!C469,'Variáveis e códigos'!$C$4:$F$5,2,FALSE)</f>
        <v>Feminino</v>
      </c>
      <c r="E469">
        <v>6</v>
      </c>
      <c r="F469">
        <v>1</v>
      </c>
      <c r="G469">
        <v>2</v>
      </c>
      <c r="H469">
        <v>1</v>
      </c>
      <c r="I469">
        <v>0</v>
      </c>
      <c r="J469">
        <v>2</v>
      </c>
      <c r="K469">
        <v>0</v>
      </c>
      <c r="L469">
        <v>1</v>
      </c>
      <c r="M469">
        <v>1</v>
      </c>
      <c r="N469">
        <v>7</v>
      </c>
    </row>
    <row r="470" spans="1:14" x14ac:dyDescent="0.2">
      <c r="A470">
        <v>469</v>
      </c>
      <c r="B470">
        <v>101</v>
      </c>
      <c r="C470">
        <v>2</v>
      </c>
      <c r="D470" t="str">
        <f>HLOOKUP(Dados!C470,'Variáveis e códigos'!$C$4:$F$5,2,FALSE)</f>
        <v>Feminino</v>
      </c>
      <c r="E470">
        <v>7</v>
      </c>
      <c r="F470">
        <v>1</v>
      </c>
      <c r="G470">
        <v>99</v>
      </c>
      <c r="H470">
        <v>1</v>
      </c>
      <c r="I470">
        <v>0</v>
      </c>
      <c r="J470">
        <v>2</v>
      </c>
      <c r="K470">
        <v>0</v>
      </c>
      <c r="L470">
        <v>1</v>
      </c>
      <c r="M470">
        <v>2</v>
      </c>
      <c r="N470">
        <v>8</v>
      </c>
    </row>
    <row r="471" spans="1:14" x14ac:dyDescent="0.2">
      <c r="A471">
        <v>470</v>
      </c>
      <c r="B471">
        <v>101</v>
      </c>
      <c r="C471">
        <v>2</v>
      </c>
      <c r="D471" t="str">
        <f>HLOOKUP(Dados!C471,'Variáveis e códigos'!$C$4:$F$5,2,FALSE)</f>
        <v>Feminino</v>
      </c>
      <c r="E471">
        <v>7</v>
      </c>
      <c r="F471">
        <v>1</v>
      </c>
      <c r="G471">
        <v>1</v>
      </c>
      <c r="H471">
        <v>0</v>
      </c>
      <c r="I471">
        <v>0</v>
      </c>
      <c r="J471">
        <v>2</v>
      </c>
      <c r="K471">
        <v>0</v>
      </c>
      <c r="L471">
        <v>0</v>
      </c>
      <c r="M471">
        <v>1</v>
      </c>
      <c r="N471">
        <v>8</v>
      </c>
    </row>
    <row r="472" spans="1:14" x14ac:dyDescent="0.2">
      <c r="A472">
        <v>471</v>
      </c>
      <c r="B472">
        <v>101</v>
      </c>
      <c r="C472">
        <v>1</v>
      </c>
      <c r="D472" t="str">
        <f>HLOOKUP(Dados!C472,'Variáveis e códigos'!$C$4:$F$5,2,FALSE)</f>
        <v>Masculino</v>
      </c>
      <c r="E472">
        <v>9</v>
      </c>
      <c r="F472">
        <v>1</v>
      </c>
      <c r="G472">
        <v>2</v>
      </c>
      <c r="H472">
        <v>0</v>
      </c>
      <c r="I472">
        <v>0</v>
      </c>
      <c r="J472">
        <v>2</v>
      </c>
      <c r="K472">
        <v>0</v>
      </c>
      <c r="L472">
        <v>0</v>
      </c>
      <c r="M472">
        <v>0</v>
      </c>
      <c r="N472">
        <v>99</v>
      </c>
    </row>
    <row r="473" spans="1:14" x14ac:dyDescent="0.2">
      <c r="A473">
        <v>472</v>
      </c>
      <c r="B473">
        <v>101</v>
      </c>
      <c r="C473">
        <v>1</v>
      </c>
      <c r="D473" t="str">
        <f>HLOOKUP(Dados!C473,'Variáveis e códigos'!$C$4:$F$5,2,FALSE)</f>
        <v>Masculino</v>
      </c>
      <c r="E473">
        <v>8</v>
      </c>
      <c r="F473">
        <v>1</v>
      </c>
      <c r="G473">
        <v>3</v>
      </c>
      <c r="H473">
        <v>1</v>
      </c>
      <c r="I473">
        <v>2</v>
      </c>
      <c r="J473">
        <v>2</v>
      </c>
      <c r="K473">
        <v>0</v>
      </c>
      <c r="L473">
        <v>0</v>
      </c>
      <c r="M473">
        <v>0</v>
      </c>
      <c r="N473">
        <v>10</v>
      </c>
    </row>
    <row r="474" spans="1:14" x14ac:dyDescent="0.2">
      <c r="A474">
        <v>473</v>
      </c>
      <c r="B474">
        <v>101</v>
      </c>
      <c r="C474">
        <v>1</v>
      </c>
      <c r="D474" t="str">
        <f>HLOOKUP(Dados!C474,'Variáveis e códigos'!$C$4:$F$5,2,FALSE)</f>
        <v>Masculino</v>
      </c>
      <c r="E474">
        <v>9</v>
      </c>
      <c r="F474">
        <v>1</v>
      </c>
      <c r="G474">
        <v>2</v>
      </c>
      <c r="H474">
        <v>1</v>
      </c>
      <c r="I474">
        <v>1</v>
      </c>
      <c r="J474">
        <v>1</v>
      </c>
      <c r="K474">
        <v>0</v>
      </c>
      <c r="L474">
        <v>1</v>
      </c>
      <c r="M474">
        <v>2</v>
      </c>
      <c r="N474">
        <v>10</v>
      </c>
    </row>
    <row r="475" spans="1:14" x14ac:dyDescent="0.2">
      <c r="A475">
        <v>474</v>
      </c>
      <c r="B475">
        <v>101</v>
      </c>
      <c r="C475">
        <v>1</v>
      </c>
      <c r="D475" t="str">
        <f>HLOOKUP(Dados!C475,'Variáveis e códigos'!$C$4:$F$5,2,FALSE)</f>
        <v>Masculino</v>
      </c>
      <c r="E475">
        <v>9</v>
      </c>
      <c r="F475">
        <v>1</v>
      </c>
      <c r="G475">
        <v>1</v>
      </c>
      <c r="H475">
        <v>1</v>
      </c>
      <c r="I475">
        <v>1</v>
      </c>
      <c r="J475">
        <v>1</v>
      </c>
      <c r="K475">
        <v>0</v>
      </c>
      <c r="L475">
        <v>0</v>
      </c>
      <c r="M475">
        <v>1</v>
      </c>
      <c r="N475">
        <v>8</v>
      </c>
    </row>
    <row r="476" spans="1:14" x14ac:dyDescent="0.2">
      <c r="A476">
        <v>475</v>
      </c>
      <c r="B476">
        <v>101</v>
      </c>
      <c r="C476">
        <v>1</v>
      </c>
      <c r="D476" t="str">
        <f>HLOOKUP(Dados!C476,'Variáveis e códigos'!$C$4:$F$5,2,FALSE)</f>
        <v>Masculino</v>
      </c>
      <c r="E476">
        <v>9</v>
      </c>
      <c r="F476">
        <v>1</v>
      </c>
      <c r="G476">
        <v>99</v>
      </c>
      <c r="H476">
        <v>0</v>
      </c>
      <c r="I476">
        <v>2</v>
      </c>
      <c r="J476">
        <v>1</v>
      </c>
      <c r="K476">
        <v>1</v>
      </c>
      <c r="L476">
        <v>0</v>
      </c>
      <c r="M476">
        <v>0</v>
      </c>
      <c r="N476">
        <v>8</v>
      </c>
    </row>
    <row r="477" spans="1:14" x14ac:dyDescent="0.2">
      <c r="A477">
        <v>476</v>
      </c>
      <c r="B477">
        <v>101</v>
      </c>
      <c r="C477">
        <v>1</v>
      </c>
      <c r="D477" t="str">
        <f>HLOOKUP(Dados!C477,'Variáveis e códigos'!$C$4:$F$5,2,FALSE)</f>
        <v>Masculino</v>
      </c>
      <c r="E477">
        <v>10</v>
      </c>
      <c r="F477">
        <v>1</v>
      </c>
      <c r="G477">
        <v>2</v>
      </c>
      <c r="H477">
        <v>2</v>
      </c>
      <c r="I477">
        <v>2</v>
      </c>
      <c r="J477">
        <v>1</v>
      </c>
      <c r="K477">
        <v>2</v>
      </c>
      <c r="L477">
        <v>1</v>
      </c>
      <c r="M477">
        <v>1</v>
      </c>
      <c r="N477">
        <v>9</v>
      </c>
    </row>
    <row r="478" spans="1:14" x14ac:dyDescent="0.2">
      <c r="A478">
        <v>477</v>
      </c>
      <c r="B478">
        <v>101</v>
      </c>
      <c r="C478">
        <v>1</v>
      </c>
      <c r="D478" t="str">
        <f>HLOOKUP(Dados!C478,'Variáveis e códigos'!$C$4:$F$5,2,FALSE)</f>
        <v>Masculino</v>
      </c>
      <c r="E478">
        <v>6</v>
      </c>
      <c r="F478">
        <v>1</v>
      </c>
      <c r="G478">
        <v>2</v>
      </c>
      <c r="H478">
        <v>1</v>
      </c>
      <c r="I478">
        <v>0</v>
      </c>
      <c r="J478">
        <v>2</v>
      </c>
      <c r="K478">
        <v>0</v>
      </c>
      <c r="L478">
        <v>0</v>
      </c>
      <c r="M478">
        <v>0</v>
      </c>
      <c r="N478">
        <v>10</v>
      </c>
    </row>
    <row r="479" spans="1:14" x14ac:dyDescent="0.2">
      <c r="A479">
        <v>478</v>
      </c>
      <c r="B479">
        <v>101</v>
      </c>
      <c r="C479">
        <v>2</v>
      </c>
      <c r="D479" t="str">
        <f>HLOOKUP(Dados!C479,'Variáveis e códigos'!$C$4:$F$5,2,FALSE)</f>
        <v>Feminino</v>
      </c>
      <c r="E479">
        <v>8</v>
      </c>
      <c r="F479">
        <v>1</v>
      </c>
      <c r="G479">
        <v>1</v>
      </c>
      <c r="H479">
        <v>1</v>
      </c>
      <c r="I479">
        <v>0</v>
      </c>
      <c r="J479">
        <v>2</v>
      </c>
      <c r="K479">
        <v>0</v>
      </c>
      <c r="L479">
        <v>0</v>
      </c>
      <c r="M479">
        <v>1</v>
      </c>
      <c r="N479">
        <v>8</v>
      </c>
    </row>
    <row r="480" spans="1:14" x14ac:dyDescent="0.2">
      <c r="A480">
        <v>479</v>
      </c>
      <c r="B480">
        <v>101</v>
      </c>
      <c r="C480">
        <v>2</v>
      </c>
      <c r="D480" t="str">
        <f>HLOOKUP(Dados!C480,'Variáveis e códigos'!$C$4:$F$5,2,FALSE)</f>
        <v>Feminino</v>
      </c>
      <c r="E480">
        <v>7</v>
      </c>
      <c r="F480">
        <v>1</v>
      </c>
      <c r="G480">
        <v>1</v>
      </c>
      <c r="H480">
        <v>0</v>
      </c>
      <c r="I480">
        <v>0</v>
      </c>
      <c r="J480">
        <v>2</v>
      </c>
      <c r="K480">
        <v>0</v>
      </c>
      <c r="L480">
        <v>0</v>
      </c>
      <c r="M480">
        <v>0</v>
      </c>
      <c r="N480">
        <v>7</v>
      </c>
    </row>
    <row r="481" spans="1:14" x14ac:dyDescent="0.2">
      <c r="A481">
        <v>480</v>
      </c>
      <c r="B481">
        <v>101</v>
      </c>
      <c r="C481">
        <v>1</v>
      </c>
      <c r="D481" t="str">
        <f>HLOOKUP(Dados!C481,'Variáveis e códigos'!$C$4:$F$5,2,FALSE)</f>
        <v>Masculino</v>
      </c>
      <c r="E481">
        <v>6</v>
      </c>
      <c r="F481">
        <v>1</v>
      </c>
      <c r="G481">
        <v>1</v>
      </c>
      <c r="H481">
        <v>1</v>
      </c>
      <c r="I481">
        <v>0</v>
      </c>
      <c r="J481">
        <v>1</v>
      </c>
      <c r="K481">
        <v>1</v>
      </c>
      <c r="L481">
        <v>0</v>
      </c>
      <c r="M481">
        <v>0</v>
      </c>
      <c r="N481">
        <v>10</v>
      </c>
    </row>
    <row r="482" spans="1:14" x14ac:dyDescent="0.2">
      <c r="A482">
        <v>481</v>
      </c>
      <c r="B482">
        <v>101</v>
      </c>
      <c r="C482">
        <v>2</v>
      </c>
      <c r="D482" t="str">
        <f>HLOOKUP(Dados!C482,'Variáveis e códigos'!$C$4:$F$5,2,FALSE)</f>
        <v>Feminino</v>
      </c>
      <c r="E482">
        <v>8</v>
      </c>
      <c r="F482">
        <v>1</v>
      </c>
      <c r="G482">
        <v>1</v>
      </c>
      <c r="H482">
        <v>1</v>
      </c>
      <c r="I482">
        <v>0</v>
      </c>
      <c r="J482">
        <v>1</v>
      </c>
      <c r="K482">
        <v>2</v>
      </c>
      <c r="L482">
        <v>0</v>
      </c>
      <c r="M482">
        <v>0</v>
      </c>
      <c r="N482">
        <v>9</v>
      </c>
    </row>
    <row r="483" spans="1:14" x14ac:dyDescent="0.2">
      <c r="A483">
        <v>482</v>
      </c>
      <c r="B483">
        <v>101</v>
      </c>
      <c r="C483">
        <v>2</v>
      </c>
      <c r="D483" t="str">
        <f>HLOOKUP(Dados!C483,'Variáveis e códigos'!$C$4:$F$5,2,FALSE)</f>
        <v>Feminino</v>
      </c>
      <c r="E483">
        <v>9</v>
      </c>
      <c r="F483">
        <v>1</v>
      </c>
      <c r="G483">
        <v>1</v>
      </c>
      <c r="H483">
        <v>2</v>
      </c>
      <c r="I483">
        <v>1</v>
      </c>
      <c r="J483">
        <v>2</v>
      </c>
      <c r="K483">
        <v>0</v>
      </c>
      <c r="L483">
        <v>0</v>
      </c>
      <c r="M483">
        <v>0</v>
      </c>
      <c r="N483">
        <v>9</v>
      </c>
    </row>
    <row r="484" spans="1:14" x14ac:dyDescent="0.2">
      <c r="A484">
        <v>483</v>
      </c>
      <c r="B484">
        <v>101</v>
      </c>
      <c r="C484">
        <v>1</v>
      </c>
      <c r="D484" t="str">
        <f>HLOOKUP(Dados!C484,'Variáveis e códigos'!$C$4:$F$5,2,FALSE)</f>
        <v>Masculino</v>
      </c>
      <c r="E484">
        <v>10</v>
      </c>
      <c r="F484">
        <v>1</v>
      </c>
      <c r="G484">
        <v>1</v>
      </c>
      <c r="H484">
        <v>0</v>
      </c>
      <c r="I484">
        <v>2</v>
      </c>
      <c r="J484">
        <v>1</v>
      </c>
      <c r="K484">
        <v>1</v>
      </c>
      <c r="L484">
        <v>2</v>
      </c>
      <c r="M484">
        <v>0</v>
      </c>
      <c r="N484">
        <v>7</v>
      </c>
    </row>
    <row r="485" spans="1:14" x14ac:dyDescent="0.2">
      <c r="A485">
        <v>484</v>
      </c>
      <c r="B485">
        <v>101</v>
      </c>
      <c r="C485">
        <v>2</v>
      </c>
      <c r="D485" t="str">
        <f>HLOOKUP(Dados!C485,'Variáveis e códigos'!$C$4:$F$5,2,FALSE)</f>
        <v>Feminino</v>
      </c>
      <c r="E485">
        <v>7</v>
      </c>
      <c r="F485">
        <v>1</v>
      </c>
      <c r="G485">
        <v>2</v>
      </c>
      <c r="H485">
        <v>1</v>
      </c>
      <c r="I485">
        <v>2</v>
      </c>
      <c r="J485">
        <v>2</v>
      </c>
      <c r="K485">
        <v>1</v>
      </c>
      <c r="L485">
        <v>0</v>
      </c>
      <c r="M485">
        <v>2</v>
      </c>
      <c r="N485">
        <v>9</v>
      </c>
    </row>
    <row r="486" spans="1:14" x14ac:dyDescent="0.2">
      <c r="A486">
        <v>485</v>
      </c>
      <c r="B486">
        <v>101</v>
      </c>
      <c r="C486">
        <v>1</v>
      </c>
      <c r="D486" t="str">
        <f>HLOOKUP(Dados!C486,'Variáveis e códigos'!$C$4:$F$5,2,FALSE)</f>
        <v>Masculino</v>
      </c>
      <c r="E486">
        <v>10</v>
      </c>
      <c r="F486">
        <v>1</v>
      </c>
      <c r="G486">
        <v>1</v>
      </c>
      <c r="H486">
        <v>2</v>
      </c>
      <c r="I486">
        <v>2</v>
      </c>
      <c r="J486">
        <v>1</v>
      </c>
      <c r="K486">
        <v>2</v>
      </c>
      <c r="L486">
        <v>2</v>
      </c>
      <c r="M486">
        <v>2</v>
      </c>
      <c r="N486">
        <v>8</v>
      </c>
    </row>
    <row r="487" spans="1:14" x14ac:dyDescent="0.2">
      <c r="A487">
        <v>486</v>
      </c>
      <c r="B487">
        <v>101</v>
      </c>
      <c r="C487">
        <v>2</v>
      </c>
      <c r="D487" t="str">
        <f>HLOOKUP(Dados!C487,'Variáveis e códigos'!$C$4:$F$5,2,FALSE)</f>
        <v>Feminino</v>
      </c>
      <c r="E487">
        <v>6</v>
      </c>
      <c r="F487">
        <v>1</v>
      </c>
      <c r="G487">
        <v>2</v>
      </c>
      <c r="H487">
        <v>1</v>
      </c>
      <c r="I487">
        <v>0</v>
      </c>
      <c r="J487">
        <v>2</v>
      </c>
      <c r="K487">
        <v>0</v>
      </c>
      <c r="L487">
        <v>99</v>
      </c>
      <c r="M487">
        <v>2</v>
      </c>
      <c r="N487">
        <v>10</v>
      </c>
    </row>
    <row r="488" spans="1:14" x14ac:dyDescent="0.2">
      <c r="A488">
        <v>487</v>
      </c>
      <c r="B488">
        <v>101</v>
      </c>
      <c r="C488">
        <v>1</v>
      </c>
      <c r="D488" t="str">
        <f>HLOOKUP(Dados!C488,'Variáveis e códigos'!$C$4:$F$5,2,FALSE)</f>
        <v>Masculino</v>
      </c>
      <c r="E488">
        <v>7</v>
      </c>
      <c r="F488">
        <v>1</v>
      </c>
      <c r="G488">
        <v>2</v>
      </c>
      <c r="H488">
        <v>0</v>
      </c>
      <c r="I488">
        <v>1</v>
      </c>
      <c r="J488">
        <v>2</v>
      </c>
      <c r="K488">
        <v>0</v>
      </c>
      <c r="L488">
        <v>0</v>
      </c>
      <c r="M488">
        <v>0</v>
      </c>
      <c r="N488">
        <v>10</v>
      </c>
    </row>
    <row r="489" spans="1:14" x14ac:dyDescent="0.2">
      <c r="A489">
        <v>488</v>
      </c>
      <c r="B489">
        <v>101</v>
      </c>
      <c r="C489">
        <v>1</v>
      </c>
      <c r="D489" t="str">
        <f>HLOOKUP(Dados!C489,'Variáveis e códigos'!$C$4:$F$5,2,FALSE)</f>
        <v>Masculino</v>
      </c>
      <c r="E489">
        <v>8</v>
      </c>
      <c r="F489">
        <v>1</v>
      </c>
      <c r="G489">
        <v>2</v>
      </c>
      <c r="H489">
        <v>0</v>
      </c>
      <c r="I489">
        <v>0</v>
      </c>
      <c r="J489">
        <v>2</v>
      </c>
      <c r="K489">
        <v>0</v>
      </c>
      <c r="L489">
        <v>0</v>
      </c>
      <c r="M489">
        <v>0</v>
      </c>
      <c r="N489">
        <v>7</v>
      </c>
    </row>
    <row r="490" spans="1:14" x14ac:dyDescent="0.2">
      <c r="A490">
        <v>489</v>
      </c>
      <c r="B490">
        <v>101</v>
      </c>
      <c r="C490">
        <v>1</v>
      </c>
      <c r="D490" t="str">
        <f>HLOOKUP(Dados!C490,'Variáveis e códigos'!$C$4:$F$5,2,FALSE)</f>
        <v>Masculino</v>
      </c>
      <c r="E490">
        <v>9</v>
      </c>
      <c r="F490">
        <v>1</v>
      </c>
      <c r="G490">
        <v>1</v>
      </c>
      <c r="H490">
        <v>2</v>
      </c>
      <c r="I490">
        <v>2</v>
      </c>
      <c r="J490">
        <v>1</v>
      </c>
      <c r="K490">
        <v>1</v>
      </c>
      <c r="L490">
        <v>0</v>
      </c>
      <c r="M490">
        <v>1</v>
      </c>
      <c r="N490">
        <v>9</v>
      </c>
    </row>
    <row r="491" spans="1:14" x14ac:dyDescent="0.2">
      <c r="A491">
        <v>490</v>
      </c>
      <c r="B491">
        <v>101</v>
      </c>
      <c r="C491">
        <v>1</v>
      </c>
      <c r="D491" t="str">
        <f>HLOOKUP(Dados!C491,'Variáveis e códigos'!$C$4:$F$5,2,FALSE)</f>
        <v>Masculino</v>
      </c>
      <c r="E491">
        <v>7</v>
      </c>
      <c r="F491">
        <v>1</v>
      </c>
      <c r="G491">
        <v>2</v>
      </c>
      <c r="H491">
        <v>1</v>
      </c>
      <c r="I491">
        <v>0</v>
      </c>
      <c r="J491">
        <v>2</v>
      </c>
      <c r="K491">
        <v>0</v>
      </c>
      <c r="L491">
        <v>0</v>
      </c>
      <c r="M491">
        <v>0</v>
      </c>
      <c r="N491">
        <v>8</v>
      </c>
    </row>
    <row r="492" spans="1:14" x14ac:dyDescent="0.2">
      <c r="A492">
        <v>491</v>
      </c>
      <c r="B492">
        <v>101</v>
      </c>
      <c r="C492">
        <v>1</v>
      </c>
      <c r="D492" t="str">
        <f>HLOOKUP(Dados!C492,'Variáveis e códigos'!$C$4:$F$5,2,FALSE)</f>
        <v>Masculino</v>
      </c>
      <c r="E492">
        <v>9</v>
      </c>
      <c r="F492">
        <v>1</v>
      </c>
      <c r="G492">
        <v>3</v>
      </c>
      <c r="H492">
        <v>0</v>
      </c>
      <c r="I492">
        <v>0</v>
      </c>
      <c r="J492">
        <v>2</v>
      </c>
      <c r="K492">
        <v>0</v>
      </c>
      <c r="L492">
        <v>0</v>
      </c>
      <c r="M492">
        <v>0</v>
      </c>
      <c r="N492">
        <v>9</v>
      </c>
    </row>
    <row r="493" spans="1:14" x14ac:dyDescent="0.2">
      <c r="A493">
        <v>492</v>
      </c>
      <c r="B493">
        <v>101</v>
      </c>
      <c r="C493">
        <v>2</v>
      </c>
      <c r="D493" t="str">
        <f>HLOOKUP(Dados!C493,'Variáveis e códigos'!$C$4:$F$5,2,FALSE)</f>
        <v>Feminino</v>
      </c>
      <c r="E493">
        <v>9</v>
      </c>
      <c r="F493">
        <v>1</v>
      </c>
      <c r="G493">
        <v>1</v>
      </c>
      <c r="H493">
        <v>0</v>
      </c>
      <c r="I493">
        <v>0</v>
      </c>
      <c r="J493">
        <v>99</v>
      </c>
      <c r="K493">
        <v>0</v>
      </c>
      <c r="L493">
        <v>0</v>
      </c>
      <c r="M493">
        <v>0</v>
      </c>
      <c r="N493">
        <v>9</v>
      </c>
    </row>
    <row r="494" spans="1:14" x14ac:dyDescent="0.2">
      <c r="A494">
        <v>493</v>
      </c>
      <c r="B494">
        <v>101</v>
      </c>
      <c r="C494">
        <v>2</v>
      </c>
      <c r="D494" t="str">
        <f>HLOOKUP(Dados!C494,'Variáveis e códigos'!$C$4:$F$5,2,FALSE)</f>
        <v>Feminino</v>
      </c>
      <c r="E494">
        <v>7</v>
      </c>
      <c r="F494">
        <v>1</v>
      </c>
      <c r="G494">
        <v>1</v>
      </c>
      <c r="H494">
        <v>1</v>
      </c>
      <c r="I494">
        <v>0</v>
      </c>
      <c r="J494">
        <v>2</v>
      </c>
      <c r="K494">
        <v>0</v>
      </c>
      <c r="L494">
        <v>0</v>
      </c>
      <c r="M494">
        <v>0</v>
      </c>
      <c r="N494">
        <v>7</v>
      </c>
    </row>
    <row r="495" spans="1:14" x14ac:dyDescent="0.2">
      <c r="A495">
        <v>494</v>
      </c>
      <c r="B495">
        <v>101</v>
      </c>
      <c r="C495">
        <v>2</v>
      </c>
      <c r="D495" t="str">
        <f>HLOOKUP(Dados!C495,'Variáveis e códigos'!$C$4:$F$5,2,FALSE)</f>
        <v>Feminino</v>
      </c>
      <c r="E495">
        <v>7</v>
      </c>
      <c r="F495">
        <v>1</v>
      </c>
      <c r="G495">
        <v>2</v>
      </c>
      <c r="H495">
        <v>0</v>
      </c>
      <c r="I495">
        <v>0</v>
      </c>
      <c r="J495">
        <v>2</v>
      </c>
      <c r="K495">
        <v>0</v>
      </c>
      <c r="L495">
        <v>0</v>
      </c>
      <c r="M495">
        <v>0</v>
      </c>
      <c r="N495">
        <v>8</v>
      </c>
    </row>
    <row r="496" spans="1:14" x14ac:dyDescent="0.2">
      <c r="A496">
        <v>495</v>
      </c>
      <c r="B496">
        <v>101</v>
      </c>
      <c r="C496">
        <v>1</v>
      </c>
      <c r="D496" t="str">
        <f>HLOOKUP(Dados!C496,'Variáveis e códigos'!$C$4:$F$5,2,FALSE)</f>
        <v>Masculino</v>
      </c>
      <c r="E496">
        <v>9</v>
      </c>
      <c r="F496">
        <v>1</v>
      </c>
      <c r="G496">
        <v>3</v>
      </c>
      <c r="H496">
        <v>0</v>
      </c>
      <c r="I496">
        <v>0</v>
      </c>
      <c r="J496">
        <v>2</v>
      </c>
      <c r="K496">
        <v>0</v>
      </c>
      <c r="L496">
        <v>0</v>
      </c>
      <c r="M496">
        <v>0</v>
      </c>
      <c r="N496">
        <v>8</v>
      </c>
    </row>
    <row r="497" spans="1:14" x14ac:dyDescent="0.2">
      <c r="A497">
        <v>496</v>
      </c>
      <c r="B497">
        <v>101</v>
      </c>
      <c r="C497">
        <v>2</v>
      </c>
      <c r="D497" t="str">
        <f>HLOOKUP(Dados!C497,'Variáveis e códigos'!$C$4:$F$5,2,FALSE)</f>
        <v>Feminino</v>
      </c>
      <c r="E497">
        <v>6</v>
      </c>
      <c r="F497">
        <v>1</v>
      </c>
      <c r="G497">
        <v>2</v>
      </c>
      <c r="H497">
        <v>0</v>
      </c>
      <c r="I497">
        <v>0</v>
      </c>
      <c r="J497">
        <v>2</v>
      </c>
      <c r="K497">
        <v>0</v>
      </c>
      <c r="L497">
        <v>0</v>
      </c>
      <c r="M497">
        <v>0</v>
      </c>
      <c r="N497">
        <v>8</v>
      </c>
    </row>
    <row r="498" spans="1:14" x14ac:dyDescent="0.2">
      <c r="A498">
        <v>497</v>
      </c>
      <c r="B498">
        <v>101</v>
      </c>
      <c r="C498">
        <v>2</v>
      </c>
      <c r="D498" t="str">
        <f>HLOOKUP(Dados!C498,'Variáveis e códigos'!$C$4:$F$5,2,FALSE)</f>
        <v>Feminino</v>
      </c>
      <c r="E498">
        <v>9</v>
      </c>
      <c r="F498">
        <v>1</v>
      </c>
      <c r="G498">
        <v>3</v>
      </c>
      <c r="H498">
        <v>1</v>
      </c>
      <c r="I498">
        <v>0</v>
      </c>
      <c r="J498">
        <v>2</v>
      </c>
      <c r="K498">
        <v>0</v>
      </c>
      <c r="L498">
        <v>0</v>
      </c>
      <c r="M498">
        <v>0</v>
      </c>
      <c r="N498">
        <v>8</v>
      </c>
    </row>
    <row r="499" spans="1:14" x14ac:dyDescent="0.2">
      <c r="A499">
        <v>498</v>
      </c>
      <c r="B499">
        <v>101</v>
      </c>
      <c r="C499">
        <v>1</v>
      </c>
      <c r="D499" t="str">
        <f>HLOOKUP(Dados!C499,'Variáveis e códigos'!$C$4:$F$5,2,FALSE)</f>
        <v>Masculino</v>
      </c>
      <c r="E499">
        <v>10</v>
      </c>
      <c r="F499">
        <v>1</v>
      </c>
      <c r="G499">
        <v>1</v>
      </c>
      <c r="H499">
        <v>0</v>
      </c>
      <c r="I499">
        <v>0</v>
      </c>
      <c r="J499">
        <v>2</v>
      </c>
      <c r="K499">
        <v>0</v>
      </c>
      <c r="L499">
        <v>1</v>
      </c>
      <c r="M499">
        <v>0</v>
      </c>
      <c r="N499">
        <v>9</v>
      </c>
    </row>
    <row r="500" spans="1:14" x14ac:dyDescent="0.2">
      <c r="A500">
        <v>499</v>
      </c>
      <c r="B500">
        <v>101</v>
      </c>
      <c r="C500">
        <v>1</v>
      </c>
      <c r="D500" t="str">
        <f>HLOOKUP(Dados!C500,'Variáveis e códigos'!$C$4:$F$5,2,FALSE)</f>
        <v>Masculino</v>
      </c>
      <c r="E500">
        <v>7</v>
      </c>
      <c r="F500">
        <v>1</v>
      </c>
      <c r="G500">
        <v>1</v>
      </c>
      <c r="H500">
        <v>1</v>
      </c>
      <c r="I500">
        <v>1</v>
      </c>
      <c r="J500">
        <v>2</v>
      </c>
      <c r="K500">
        <v>0</v>
      </c>
      <c r="L500">
        <v>2</v>
      </c>
      <c r="M500">
        <v>2</v>
      </c>
      <c r="N500">
        <v>8</v>
      </c>
    </row>
    <row r="501" spans="1:14" x14ac:dyDescent="0.2">
      <c r="A501">
        <v>500</v>
      </c>
      <c r="B501">
        <v>101</v>
      </c>
      <c r="C501">
        <v>1</v>
      </c>
      <c r="D501" t="str">
        <f>HLOOKUP(Dados!C501,'Variáveis e códigos'!$C$4:$F$5,2,FALSE)</f>
        <v>Masculino</v>
      </c>
      <c r="E501">
        <v>5</v>
      </c>
      <c r="F501">
        <v>1</v>
      </c>
      <c r="G501">
        <v>2</v>
      </c>
      <c r="H501">
        <v>0</v>
      </c>
      <c r="I501">
        <v>0</v>
      </c>
      <c r="J501">
        <v>2</v>
      </c>
      <c r="K501">
        <v>0</v>
      </c>
      <c r="L501">
        <v>0</v>
      </c>
      <c r="M501">
        <v>0</v>
      </c>
      <c r="N501">
        <v>10</v>
      </c>
    </row>
    <row r="502" spans="1:14" x14ac:dyDescent="0.2">
      <c r="A502">
        <v>501</v>
      </c>
      <c r="B502">
        <v>101</v>
      </c>
      <c r="C502">
        <v>1</v>
      </c>
      <c r="D502" t="str">
        <f>HLOOKUP(Dados!C502,'Variáveis e códigos'!$C$4:$F$5,2,FALSE)</f>
        <v>Masculino</v>
      </c>
      <c r="E502">
        <v>6</v>
      </c>
      <c r="F502">
        <v>1</v>
      </c>
      <c r="G502">
        <v>3</v>
      </c>
      <c r="H502">
        <v>1</v>
      </c>
      <c r="I502">
        <v>1</v>
      </c>
      <c r="J502">
        <v>1</v>
      </c>
      <c r="K502">
        <v>1</v>
      </c>
      <c r="L502">
        <v>1</v>
      </c>
      <c r="M502">
        <v>1</v>
      </c>
      <c r="N502">
        <v>8</v>
      </c>
    </row>
    <row r="503" spans="1:14" x14ac:dyDescent="0.2">
      <c r="A503">
        <v>502</v>
      </c>
      <c r="B503">
        <v>101</v>
      </c>
      <c r="C503">
        <v>1</v>
      </c>
      <c r="D503" t="str">
        <f>HLOOKUP(Dados!C503,'Variáveis e códigos'!$C$4:$F$5,2,FALSE)</f>
        <v>Masculino</v>
      </c>
      <c r="E503">
        <v>7</v>
      </c>
      <c r="F503">
        <v>1</v>
      </c>
      <c r="G503">
        <v>2</v>
      </c>
      <c r="H503">
        <v>0</v>
      </c>
      <c r="I503">
        <v>0</v>
      </c>
      <c r="J503">
        <v>2</v>
      </c>
      <c r="K503">
        <v>0</v>
      </c>
      <c r="L503">
        <v>0</v>
      </c>
      <c r="M503">
        <v>0</v>
      </c>
      <c r="N503">
        <v>8</v>
      </c>
    </row>
    <row r="504" spans="1:14" x14ac:dyDescent="0.2">
      <c r="A504">
        <v>503</v>
      </c>
      <c r="B504">
        <v>101</v>
      </c>
      <c r="C504">
        <v>1</v>
      </c>
      <c r="D504" t="str">
        <f>HLOOKUP(Dados!C504,'Variáveis e códigos'!$C$4:$F$5,2,FALSE)</f>
        <v>Masculino</v>
      </c>
      <c r="E504">
        <v>9</v>
      </c>
      <c r="F504">
        <v>1</v>
      </c>
      <c r="G504">
        <v>1</v>
      </c>
      <c r="H504">
        <v>1</v>
      </c>
      <c r="I504">
        <v>99</v>
      </c>
      <c r="J504">
        <v>1</v>
      </c>
      <c r="K504">
        <v>2</v>
      </c>
      <c r="L504">
        <v>2</v>
      </c>
      <c r="M504">
        <v>1</v>
      </c>
      <c r="N504">
        <v>10</v>
      </c>
    </row>
    <row r="505" spans="1:14" x14ac:dyDescent="0.2">
      <c r="A505">
        <v>504</v>
      </c>
      <c r="B505">
        <v>101</v>
      </c>
      <c r="C505">
        <v>2</v>
      </c>
      <c r="D505" t="str">
        <f>HLOOKUP(Dados!C505,'Variáveis e códigos'!$C$4:$F$5,2,FALSE)</f>
        <v>Feminino</v>
      </c>
      <c r="E505">
        <v>6</v>
      </c>
      <c r="F505">
        <v>1</v>
      </c>
      <c r="G505">
        <v>3</v>
      </c>
      <c r="H505">
        <v>0</v>
      </c>
      <c r="I505">
        <v>0</v>
      </c>
      <c r="J505">
        <v>2</v>
      </c>
      <c r="K505">
        <v>0</v>
      </c>
      <c r="L505">
        <v>0</v>
      </c>
      <c r="M505">
        <v>1</v>
      </c>
      <c r="N505">
        <v>10</v>
      </c>
    </row>
    <row r="506" spans="1:14" x14ac:dyDescent="0.2">
      <c r="A506">
        <v>505</v>
      </c>
      <c r="B506">
        <v>101</v>
      </c>
      <c r="C506">
        <v>1</v>
      </c>
      <c r="D506" t="str">
        <f>HLOOKUP(Dados!C506,'Variáveis e códigos'!$C$4:$F$5,2,FALSE)</f>
        <v>Masculino</v>
      </c>
      <c r="E506">
        <v>9</v>
      </c>
      <c r="F506">
        <v>1</v>
      </c>
      <c r="G506">
        <v>3</v>
      </c>
      <c r="H506">
        <v>0</v>
      </c>
      <c r="I506">
        <v>0</v>
      </c>
      <c r="J506">
        <v>2</v>
      </c>
      <c r="K506">
        <v>0</v>
      </c>
      <c r="L506">
        <v>0</v>
      </c>
      <c r="M506">
        <v>0</v>
      </c>
      <c r="N506">
        <v>9</v>
      </c>
    </row>
    <row r="507" spans="1:14" x14ac:dyDescent="0.2">
      <c r="A507">
        <v>506</v>
      </c>
      <c r="B507">
        <v>101</v>
      </c>
      <c r="C507">
        <v>1</v>
      </c>
      <c r="D507" t="str">
        <f>HLOOKUP(Dados!C507,'Variáveis e códigos'!$C$4:$F$5,2,FALSE)</f>
        <v>Masculino</v>
      </c>
      <c r="E507">
        <v>9</v>
      </c>
      <c r="F507">
        <v>1</v>
      </c>
      <c r="G507">
        <v>3</v>
      </c>
      <c r="H507">
        <v>1</v>
      </c>
      <c r="I507">
        <v>0</v>
      </c>
      <c r="J507">
        <v>2</v>
      </c>
      <c r="K507">
        <v>0</v>
      </c>
      <c r="L507">
        <v>0</v>
      </c>
      <c r="M507">
        <v>0</v>
      </c>
      <c r="N507">
        <v>7</v>
      </c>
    </row>
    <row r="508" spans="1:14" x14ac:dyDescent="0.2">
      <c r="A508">
        <v>507</v>
      </c>
      <c r="B508">
        <v>101</v>
      </c>
      <c r="C508">
        <v>1</v>
      </c>
      <c r="D508" t="str">
        <f>HLOOKUP(Dados!C508,'Variáveis e códigos'!$C$4:$F$5,2,FALSE)</f>
        <v>Masculino</v>
      </c>
      <c r="E508">
        <v>9</v>
      </c>
      <c r="F508">
        <v>1</v>
      </c>
      <c r="G508">
        <v>3</v>
      </c>
      <c r="H508">
        <v>0</v>
      </c>
      <c r="I508">
        <v>0</v>
      </c>
      <c r="J508">
        <v>2</v>
      </c>
      <c r="K508">
        <v>0</v>
      </c>
      <c r="L508">
        <v>0</v>
      </c>
      <c r="M508">
        <v>0</v>
      </c>
      <c r="N508">
        <v>8</v>
      </c>
    </row>
    <row r="509" spans="1:14" x14ac:dyDescent="0.2">
      <c r="A509">
        <v>508</v>
      </c>
      <c r="B509">
        <v>101</v>
      </c>
      <c r="C509">
        <v>1</v>
      </c>
      <c r="D509" t="str">
        <f>HLOOKUP(Dados!C509,'Variáveis e códigos'!$C$4:$F$5,2,FALSE)</f>
        <v>Masculino</v>
      </c>
      <c r="E509">
        <v>8</v>
      </c>
      <c r="F509">
        <v>1</v>
      </c>
      <c r="G509">
        <v>3</v>
      </c>
      <c r="H509">
        <v>0</v>
      </c>
      <c r="I509">
        <v>1</v>
      </c>
      <c r="J509">
        <v>2</v>
      </c>
      <c r="K509">
        <v>0</v>
      </c>
      <c r="L509">
        <v>0</v>
      </c>
      <c r="M509">
        <v>0</v>
      </c>
      <c r="N509">
        <v>8</v>
      </c>
    </row>
    <row r="510" spans="1:14" x14ac:dyDescent="0.2">
      <c r="A510">
        <v>509</v>
      </c>
      <c r="B510">
        <v>101</v>
      </c>
      <c r="C510">
        <v>1</v>
      </c>
      <c r="D510" t="str">
        <f>HLOOKUP(Dados!C510,'Variáveis e códigos'!$C$4:$F$5,2,FALSE)</f>
        <v>Masculino</v>
      </c>
      <c r="E510">
        <v>6</v>
      </c>
      <c r="F510">
        <v>1</v>
      </c>
      <c r="G510">
        <v>2</v>
      </c>
      <c r="H510">
        <v>1</v>
      </c>
      <c r="I510">
        <v>0</v>
      </c>
      <c r="J510">
        <v>2</v>
      </c>
      <c r="K510">
        <v>0</v>
      </c>
      <c r="L510">
        <v>2</v>
      </c>
      <c r="M510">
        <v>2</v>
      </c>
      <c r="N510">
        <v>10</v>
      </c>
    </row>
    <row r="511" spans="1:14" x14ac:dyDescent="0.2">
      <c r="A511">
        <v>510</v>
      </c>
      <c r="B511">
        <v>101</v>
      </c>
      <c r="C511">
        <v>1</v>
      </c>
      <c r="D511" t="str">
        <f>HLOOKUP(Dados!C511,'Variáveis e códigos'!$C$4:$F$5,2,FALSE)</f>
        <v>Masculino</v>
      </c>
      <c r="E511">
        <v>8</v>
      </c>
      <c r="F511">
        <v>1</v>
      </c>
      <c r="G511">
        <v>3</v>
      </c>
      <c r="H511">
        <v>2</v>
      </c>
      <c r="I511">
        <v>1</v>
      </c>
      <c r="J511">
        <v>2</v>
      </c>
      <c r="K511">
        <v>1</v>
      </c>
      <c r="L511">
        <v>0</v>
      </c>
      <c r="M511">
        <v>0</v>
      </c>
      <c r="N511">
        <v>10</v>
      </c>
    </row>
    <row r="512" spans="1:14" x14ac:dyDescent="0.2">
      <c r="A512">
        <v>511</v>
      </c>
      <c r="B512">
        <v>101</v>
      </c>
      <c r="C512">
        <v>1</v>
      </c>
      <c r="D512" t="str">
        <f>HLOOKUP(Dados!C512,'Variáveis e códigos'!$C$4:$F$5,2,FALSE)</f>
        <v>Masculino</v>
      </c>
      <c r="E512">
        <v>7</v>
      </c>
      <c r="F512">
        <v>1</v>
      </c>
      <c r="G512">
        <v>2</v>
      </c>
      <c r="H512">
        <v>1</v>
      </c>
      <c r="I512">
        <v>1</v>
      </c>
      <c r="J512">
        <v>1</v>
      </c>
      <c r="K512">
        <v>1</v>
      </c>
      <c r="L512">
        <v>1</v>
      </c>
      <c r="M512">
        <v>0</v>
      </c>
      <c r="N512">
        <v>12</v>
      </c>
    </row>
    <row r="513" spans="1:14" x14ac:dyDescent="0.2">
      <c r="A513">
        <v>512</v>
      </c>
      <c r="B513">
        <v>101</v>
      </c>
      <c r="C513">
        <v>1</v>
      </c>
      <c r="D513" t="str">
        <f>HLOOKUP(Dados!C513,'Variáveis e códigos'!$C$4:$F$5,2,FALSE)</f>
        <v>Masculino</v>
      </c>
      <c r="E513">
        <v>6</v>
      </c>
      <c r="F513">
        <v>1</v>
      </c>
      <c r="G513">
        <v>3</v>
      </c>
      <c r="H513">
        <v>1</v>
      </c>
      <c r="I513">
        <v>1</v>
      </c>
      <c r="J513">
        <v>2</v>
      </c>
      <c r="K513">
        <v>1</v>
      </c>
      <c r="L513">
        <v>1</v>
      </c>
      <c r="M513">
        <v>1</v>
      </c>
      <c r="N513">
        <v>9</v>
      </c>
    </row>
    <row r="514" spans="1:14" x14ac:dyDescent="0.2">
      <c r="A514">
        <v>513</v>
      </c>
      <c r="B514">
        <v>101</v>
      </c>
      <c r="C514">
        <v>2</v>
      </c>
      <c r="D514" t="str">
        <f>HLOOKUP(Dados!C514,'Variáveis e códigos'!$C$4:$F$5,2,FALSE)</f>
        <v>Feminino</v>
      </c>
      <c r="E514">
        <v>7</v>
      </c>
      <c r="F514">
        <v>1</v>
      </c>
      <c r="G514">
        <v>99</v>
      </c>
      <c r="H514">
        <v>1</v>
      </c>
      <c r="I514">
        <v>2</v>
      </c>
      <c r="J514">
        <v>2</v>
      </c>
      <c r="K514">
        <v>0</v>
      </c>
      <c r="L514">
        <v>1</v>
      </c>
      <c r="M514">
        <v>2</v>
      </c>
      <c r="N514">
        <v>9</v>
      </c>
    </row>
    <row r="515" spans="1:14" x14ac:dyDescent="0.2">
      <c r="A515">
        <v>514</v>
      </c>
      <c r="B515">
        <v>101</v>
      </c>
      <c r="C515">
        <v>2</v>
      </c>
      <c r="D515" t="str">
        <f>HLOOKUP(Dados!C515,'Variáveis e códigos'!$C$4:$F$5,2,FALSE)</f>
        <v>Feminino</v>
      </c>
      <c r="E515">
        <v>7</v>
      </c>
      <c r="F515">
        <v>1</v>
      </c>
      <c r="G515">
        <v>3</v>
      </c>
      <c r="H515">
        <v>0</v>
      </c>
      <c r="I515">
        <v>0</v>
      </c>
      <c r="J515">
        <v>99</v>
      </c>
      <c r="K515">
        <v>0</v>
      </c>
      <c r="L515">
        <v>0</v>
      </c>
      <c r="M515">
        <v>1</v>
      </c>
      <c r="N515">
        <v>9</v>
      </c>
    </row>
    <row r="516" spans="1:14" x14ac:dyDescent="0.2">
      <c r="A516">
        <v>515</v>
      </c>
      <c r="B516">
        <v>101</v>
      </c>
      <c r="C516">
        <v>1</v>
      </c>
      <c r="D516" t="str">
        <f>HLOOKUP(Dados!C516,'Variáveis e códigos'!$C$4:$F$5,2,FALSE)</f>
        <v>Masculino</v>
      </c>
      <c r="E516">
        <v>7</v>
      </c>
      <c r="F516">
        <v>1</v>
      </c>
      <c r="G516">
        <v>2</v>
      </c>
      <c r="H516">
        <v>2</v>
      </c>
      <c r="I516">
        <v>0</v>
      </c>
      <c r="J516">
        <v>2</v>
      </c>
      <c r="K516">
        <v>0</v>
      </c>
      <c r="L516">
        <v>1</v>
      </c>
      <c r="M516">
        <v>1</v>
      </c>
      <c r="N516">
        <v>10</v>
      </c>
    </row>
    <row r="517" spans="1:14" x14ac:dyDescent="0.2">
      <c r="A517">
        <v>516</v>
      </c>
      <c r="B517">
        <v>101</v>
      </c>
      <c r="C517">
        <v>1</v>
      </c>
      <c r="D517" t="str">
        <f>HLOOKUP(Dados!C517,'Variáveis e códigos'!$C$4:$F$5,2,FALSE)</f>
        <v>Masculino</v>
      </c>
      <c r="E517">
        <v>7</v>
      </c>
      <c r="F517">
        <v>1</v>
      </c>
      <c r="G517">
        <v>3</v>
      </c>
      <c r="H517">
        <v>1</v>
      </c>
      <c r="I517">
        <v>1</v>
      </c>
      <c r="J517">
        <v>2</v>
      </c>
      <c r="K517">
        <v>0</v>
      </c>
      <c r="L517">
        <v>0</v>
      </c>
      <c r="M517">
        <v>0</v>
      </c>
      <c r="N517">
        <v>10</v>
      </c>
    </row>
    <row r="518" spans="1:14" x14ac:dyDescent="0.2">
      <c r="A518">
        <v>517</v>
      </c>
      <c r="B518">
        <v>101</v>
      </c>
      <c r="C518">
        <v>1</v>
      </c>
      <c r="D518" t="str">
        <f>HLOOKUP(Dados!C518,'Variáveis e códigos'!$C$4:$F$5,2,FALSE)</f>
        <v>Masculino</v>
      </c>
      <c r="E518">
        <v>7</v>
      </c>
      <c r="F518">
        <v>1</v>
      </c>
      <c r="G518">
        <v>2</v>
      </c>
      <c r="H518">
        <v>0</v>
      </c>
      <c r="I518">
        <v>0</v>
      </c>
      <c r="J518">
        <v>2</v>
      </c>
      <c r="K518">
        <v>0</v>
      </c>
      <c r="L518">
        <v>0</v>
      </c>
      <c r="M518">
        <v>0</v>
      </c>
      <c r="N518">
        <v>9</v>
      </c>
    </row>
    <row r="519" spans="1:14" x14ac:dyDescent="0.2">
      <c r="A519">
        <v>518</v>
      </c>
      <c r="B519">
        <v>101</v>
      </c>
      <c r="C519">
        <v>2</v>
      </c>
      <c r="D519" t="str">
        <f>HLOOKUP(Dados!C519,'Variáveis e códigos'!$C$4:$F$5,2,FALSE)</f>
        <v>Feminino</v>
      </c>
      <c r="E519">
        <v>6</v>
      </c>
      <c r="F519">
        <v>1</v>
      </c>
      <c r="G519">
        <v>1</v>
      </c>
      <c r="H519">
        <v>2</v>
      </c>
      <c r="I519">
        <v>1</v>
      </c>
      <c r="J519">
        <v>2</v>
      </c>
      <c r="K519">
        <v>0</v>
      </c>
      <c r="L519">
        <v>0</v>
      </c>
      <c r="M519">
        <v>1</v>
      </c>
      <c r="N519">
        <v>10</v>
      </c>
    </row>
    <row r="520" spans="1:14" x14ac:dyDescent="0.2">
      <c r="A520">
        <v>519</v>
      </c>
      <c r="B520">
        <v>101</v>
      </c>
      <c r="C520">
        <v>1</v>
      </c>
      <c r="D520" t="str">
        <f>HLOOKUP(Dados!C520,'Variáveis e códigos'!$C$4:$F$5,2,FALSE)</f>
        <v>Masculino</v>
      </c>
      <c r="E520">
        <v>9</v>
      </c>
      <c r="F520">
        <v>1</v>
      </c>
      <c r="G520">
        <v>1</v>
      </c>
      <c r="H520">
        <v>2</v>
      </c>
      <c r="I520">
        <v>1</v>
      </c>
      <c r="J520">
        <v>0</v>
      </c>
      <c r="K520">
        <v>2</v>
      </c>
      <c r="L520">
        <v>1</v>
      </c>
      <c r="M520">
        <v>0</v>
      </c>
      <c r="N520">
        <v>8</v>
      </c>
    </row>
    <row r="521" spans="1:14" x14ac:dyDescent="0.2">
      <c r="A521">
        <v>520</v>
      </c>
      <c r="B521">
        <v>101</v>
      </c>
      <c r="C521">
        <v>1</v>
      </c>
      <c r="D521" t="str">
        <f>HLOOKUP(Dados!C521,'Variáveis e códigos'!$C$4:$F$5,2,FALSE)</f>
        <v>Masculino</v>
      </c>
      <c r="E521">
        <v>9</v>
      </c>
      <c r="F521">
        <v>1</v>
      </c>
      <c r="G521">
        <v>1</v>
      </c>
      <c r="H521">
        <v>0</v>
      </c>
      <c r="I521">
        <v>1</v>
      </c>
      <c r="J521">
        <v>2</v>
      </c>
      <c r="K521">
        <v>0</v>
      </c>
      <c r="L521">
        <v>1</v>
      </c>
      <c r="M521">
        <v>0</v>
      </c>
      <c r="N521">
        <v>10</v>
      </c>
    </row>
    <row r="522" spans="1:14" x14ac:dyDescent="0.2">
      <c r="A522">
        <v>521</v>
      </c>
      <c r="B522">
        <v>101</v>
      </c>
      <c r="C522">
        <v>1</v>
      </c>
      <c r="D522" t="str">
        <f>HLOOKUP(Dados!C522,'Variáveis e códigos'!$C$4:$F$5,2,FALSE)</f>
        <v>Masculino</v>
      </c>
      <c r="E522">
        <v>8</v>
      </c>
      <c r="F522">
        <v>1</v>
      </c>
      <c r="G522">
        <v>1</v>
      </c>
      <c r="H522">
        <v>1</v>
      </c>
      <c r="I522">
        <v>0</v>
      </c>
      <c r="J522">
        <v>1</v>
      </c>
      <c r="K522">
        <v>0</v>
      </c>
      <c r="L522">
        <v>0</v>
      </c>
      <c r="M522">
        <v>0</v>
      </c>
      <c r="N522">
        <v>8</v>
      </c>
    </row>
    <row r="523" spans="1:14" x14ac:dyDescent="0.2">
      <c r="A523">
        <v>522</v>
      </c>
      <c r="B523">
        <v>101</v>
      </c>
      <c r="C523">
        <v>1</v>
      </c>
      <c r="D523" t="str">
        <f>HLOOKUP(Dados!C523,'Variáveis e códigos'!$C$4:$F$5,2,FALSE)</f>
        <v>Masculino</v>
      </c>
      <c r="E523">
        <v>6</v>
      </c>
      <c r="F523">
        <v>1</v>
      </c>
      <c r="G523">
        <v>1</v>
      </c>
      <c r="H523">
        <v>2</v>
      </c>
      <c r="I523">
        <v>1</v>
      </c>
      <c r="J523">
        <v>1</v>
      </c>
      <c r="K523">
        <v>1</v>
      </c>
      <c r="L523">
        <v>0</v>
      </c>
      <c r="M523">
        <v>0</v>
      </c>
      <c r="N523">
        <v>10</v>
      </c>
    </row>
    <row r="524" spans="1:14" x14ac:dyDescent="0.2">
      <c r="A524">
        <v>523</v>
      </c>
      <c r="B524">
        <v>101</v>
      </c>
      <c r="C524">
        <v>1</v>
      </c>
      <c r="D524" t="str">
        <f>HLOOKUP(Dados!C524,'Variáveis e códigos'!$C$4:$F$5,2,FALSE)</f>
        <v>Masculino</v>
      </c>
      <c r="E524">
        <v>9</v>
      </c>
      <c r="F524">
        <v>1</v>
      </c>
      <c r="G524">
        <v>1</v>
      </c>
      <c r="H524">
        <v>0</v>
      </c>
      <c r="I524">
        <v>0</v>
      </c>
      <c r="J524">
        <v>2</v>
      </c>
      <c r="K524">
        <v>0</v>
      </c>
      <c r="L524">
        <v>1</v>
      </c>
      <c r="M524">
        <v>1</v>
      </c>
      <c r="N524">
        <v>8</v>
      </c>
    </row>
    <row r="525" spans="1:14" x14ac:dyDescent="0.2">
      <c r="A525">
        <v>524</v>
      </c>
      <c r="B525">
        <v>101</v>
      </c>
      <c r="C525">
        <v>2</v>
      </c>
      <c r="D525" t="str">
        <f>HLOOKUP(Dados!C525,'Variáveis e códigos'!$C$4:$F$5,2,FALSE)</f>
        <v>Feminino</v>
      </c>
      <c r="E525">
        <v>10</v>
      </c>
      <c r="F525">
        <v>1</v>
      </c>
      <c r="G525">
        <v>2</v>
      </c>
      <c r="H525">
        <v>1</v>
      </c>
      <c r="I525">
        <v>0</v>
      </c>
      <c r="J525">
        <v>2</v>
      </c>
      <c r="K525">
        <v>0</v>
      </c>
      <c r="L525">
        <v>0</v>
      </c>
      <c r="M525">
        <v>0</v>
      </c>
      <c r="N525">
        <v>9</v>
      </c>
    </row>
    <row r="526" spans="1:14" x14ac:dyDescent="0.2">
      <c r="A526">
        <v>525</v>
      </c>
      <c r="B526">
        <v>101</v>
      </c>
      <c r="C526">
        <v>2</v>
      </c>
      <c r="D526" t="str">
        <f>HLOOKUP(Dados!C526,'Variáveis e códigos'!$C$4:$F$5,2,FALSE)</f>
        <v>Feminino</v>
      </c>
      <c r="E526">
        <v>8</v>
      </c>
      <c r="F526">
        <v>1</v>
      </c>
      <c r="G526">
        <v>99</v>
      </c>
      <c r="H526">
        <v>0</v>
      </c>
      <c r="I526">
        <v>0</v>
      </c>
      <c r="J526">
        <v>2</v>
      </c>
      <c r="K526">
        <v>0</v>
      </c>
      <c r="L526">
        <v>1</v>
      </c>
      <c r="M526">
        <v>1</v>
      </c>
      <c r="N526">
        <v>9</v>
      </c>
    </row>
    <row r="527" spans="1:14" x14ac:dyDescent="0.2">
      <c r="A527">
        <v>526</v>
      </c>
      <c r="B527">
        <v>101</v>
      </c>
      <c r="C527">
        <v>1</v>
      </c>
      <c r="D527" t="str">
        <f>HLOOKUP(Dados!C527,'Variáveis e códigos'!$C$4:$F$5,2,FALSE)</f>
        <v>Masculino</v>
      </c>
      <c r="E527">
        <v>10</v>
      </c>
      <c r="F527">
        <v>1</v>
      </c>
      <c r="G527">
        <v>99</v>
      </c>
      <c r="H527">
        <v>2</v>
      </c>
      <c r="I527">
        <v>2</v>
      </c>
      <c r="J527">
        <v>0</v>
      </c>
      <c r="K527">
        <v>1</v>
      </c>
      <c r="L527">
        <v>1</v>
      </c>
      <c r="M527">
        <v>1</v>
      </c>
      <c r="N527">
        <v>10</v>
      </c>
    </row>
    <row r="528" spans="1:14" x14ac:dyDescent="0.2">
      <c r="A528">
        <v>527</v>
      </c>
      <c r="B528">
        <v>101</v>
      </c>
      <c r="C528">
        <v>1</v>
      </c>
      <c r="D528" t="str">
        <f>HLOOKUP(Dados!C528,'Variáveis e códigos'!$C$4:$F$5,2,FALSE)</f>
        <v>Masculino</v>
      </c>
      <c r="E528">
        <v>9</v>
      </c>
      <c r="F528">
        <v>1</v>
      </c>
      <c r="G528">
        <v>99</v>
      </c>
      <c r="H528">
        <v>0</v>
      </c>
      <c r="I528">
        <v>0</v>
      </c>
      <c r="J528">
        <v>2</v>
      </c>
      <c r="K528">
        <v>0</v>
      </c>
      <c r="L528">
        <v>0</v>
      </c>
      <c r="M528">
        <v>1</v>
      </c>
      <c r="N528">
        <v>10</v>
      </c>
    </row>
    <row r="529" spans="1:14" x14ac:dyDescent="0.2">
      <c r="A529">
        <v>528</v>
      </c>
      <c r="B529">
        <v>101</v>
      </c>
      <c r="C529">
        <v>2</v>
      </c>
      <c r="D529" t="str">
        <f>HLOOKUP(Dados!C529,'Variáveis e códigos'!$C$4:$F$5,2,FALSE)</f>
        <v>Feminino</v>
      </c>
      <c r="E529">
        <v>4</v>
      </c>
      <c r="F529">
        <v>0</v>
      </c>
      <c r="G529">
        <v>1</v>
      </c>
      <c r="H529">
        <v>0</v>
      </c>
      <c r="I529">
        <v>0</v>
      </c>
      <c r="J529">
        <v>2</v>
      </c>
      <c r="K529">
        <v>0</v>
      </c>
      <c r="L529">
        <v>0</v>
      </c>
      <c r="M529">
        <v>0</v>
      </c>
      <c r="N529">
        <v>7</v>
      </c>
    </row>
    <row r="530" spans="1:14" x14ac:dyDescent="0.2">
      <c r="A530">
        <v>529</v>
      </c>
      <c r="B530">
        <v>101</v>
      </c>
      <c r="C530">
        <v>1</v>
      </c>
      <c r="D530" t="str">
        <f>HLOOKUP(Dados!C530,'Variáveis e códigos'!$C$4:$F$5,2,FALSE)</f>
        <v>Masculino</v>
      </c>
      <c r="E530">
        <v>5</v>
      </c>
      <c r="F530">
        <v>1</v>
      </c>
      <c r="G530">
        <v>3</v>
      </c>
      <c r="H530">
        <v>2</v>
      </c>
      <c r="I530">
        <v>0</v>
      </c>
      <c r="J530">
        <v>0</v>
      </c>
      <c r="K530">
        <v>0</v>
      </c>
      <c r="L530">
        <v>1</v>
      </c>
      <c r="M530">
        <v>0</v>
      </c>
      <c r="N530">
        <v>9</v>
      </c>
    </row>
    <row r="531" spans="1:14" x14ac:dyDescent="0.2">
      <c r="A531">
        <v>530</v>
      </c>
      <c r="B531">
        <v>101</v>
      </c>
      <c r="C531">
        <v>2</v>
      </c>
      <c r="D531" t="str">
        <f>HLOOKUP(Dados!C531,'Variáveis e códigos'!$C$4:$F$5,2,FALSE)</f>
        <v>Feminino</v>
      </c>
      <c r="E531">
        <v>8</v>
      </c>
      <c r="F531">
        <v>1</v>
      </c>
      <c r="G531">
        <v>1</v>
      </c>
      <c r="H531">
        <v>1</v>
      </c>
      <c r="I531">
        <v>0</v>
      </c>
      <c r="J531">
        <v>1</v>
      </c>
      <c r="K531">
        <v>1</v>
      </c>
      <c r="L531">
        <v>0</v>
      </c>
      <c r="M531">
        <v>0</v>
      </c>
      <c r="N531">
        <v>9</v>
      </c>
    </row>
    <row r="532" spans="1:14" x14ac:dyDescent="0.2">
      <c r="A532">
        <v>531</v>
      </c>
      <c r="B532">
        <v>101</v>
      </c>
      <c r="C532">
        <v>2</v>
      </c>
      <c r="D532" t="str">
        <f>HLOOKUP(Dados!C532,'Variáveis e códigos'!$C$4:$F$5,2,FALSE)</f>
        <v>Feminino</v>
      </c>
      <c r="E532">
        <v>9</v>
      </c>
      <c r="F532">
        <v>1</v>
      </c>
      <c r="G532">
        <v>2</v>
      </c>
      <c r="H532">
        <v>2</v>
      </c>
      <c r="I532">
        <v>1</v>
      </c>
      <c r="J532">
        <v>1</v>
      </c>
      <c r="K532">
        <v>0</v>
      </c>
      <c r="L532">
        <v>0</v>
      </c>
      <c r="M532">
        <v>0</v>
      </c>
      <c r="N532">
        <v>9</v>
      </c>
    </row>
    <row r="533" spans="1:14" x14ac:dyDescent="0.2">
      <c r="A533">
        <v>532</v>
      </c>
      <c r="B533">
        <v>101</v>
      </c>
      <c r="C533">
        <v>2</v>
      </c>
      <c r="D533" t="str">
        <f>HLOOKUP(Dados!C533,'Variáveis e códigos'!$C$4:$F$5,2,FALSE)</f>
        <v>Feminino</v>
      </c>
      <c r="E533">
        <v>7</v>
      </c>
      <c r="F533">
        <v>1</v>
      </c>
      <c r="G533">
        <v>2</v>
      </c>
      <c r="H533">
        <v>2</v>
      </c>
      <c r="I533">
        <v>0</v>
      </c>
      <c r="J533">
        <v>2</v>
      </c>
      <c r="K533">
        <v>0</v>
      </c>
      <c r="L533">
        <v>0</v>
      </c>
      <c r="M533">
        <v>1</v>
      </c>
      <c r="N533">
        <v>7</v>
      </c>
    </row>
    <row r="534" spans="1:14" x14ac:dyDescent="0.2">
      <c r="A534">
        <v>533</v>
      </c>
      <c r="B534">
        <v>101</v>
      </c>
      <c r="C534">
        <v>1</v>
      </c>
      <c r="D534" t="str">
        <f>HLOOKUP(Dados!C534,'Variáveis e códigos'!$C$4:$F$5,2,FALSE)</f>
        <v>Masculino</v>
      </c>
      <c r="E534">
        <v>3</v>
      </c>
      <c r="F534">
        <v>0</v>
      </c>
      <c r="G534">
        <v>2</v>
      </c>
      <c r="H534">
        <v>2</v>
      </c>
      <c r="I534">
        <v>2</v>
      </c>
      <c r="J534">
        <v>0</v>
      </c>
      <c r="K534">
        <v>0</v>
      </c>
      <c r="L534">
        <v>1</v>
      </c>
      <c r="M534">
        <v>0</v>
      </c>
      <c r="N534">
        <v>7</v>
      </c>
    </row>
    <row r="535" spans="1:14" x14ac:dyDescent="0.2">
      <c r="A535">
        <v>534</v>
      </c>
      <c r="B535">
        <v>101</v>
      </c>
      <c r="C535">
        <v>2</v>
      </c>
      <c r="D535" t="str">
        <f>HLOOKUP(Dados!C535,'Variáveis e códigos'!$C$4:$F$5,2,FALSE)</f>
        <v>Feminino</v>
      </c>
      <c r="E535">
        <v>9</v>
      </c>
      <c r="F535">
        <v>1</v>
      </c>
      <c r="G535">
        <v>2</v>
      </c>
      <c r="H535">
        <v>1</v>
      </c>
      <c r="I535">
        <v>0</v>
      </c>
      <c r="J535">
        <v>2</v>
      </c>
      <c r="K535">
        <v>0</v>
      </c>
      <c r="L535">
        <v>0</v>
      </c>
      <c r="M535">
        <v>0</v>
      </c>
      <c r="N535">
        <v>10</v>
      </c>
    </row>
    <row r="536" spans="1:14" x14ac:dyDescent="0.2">
      <c r="A536">
        <v>535</v>
      </c>
      <c r="B536">
        <v>101</v>
      </c>
      <c r="C536">
        <v>1</v>
      </c>
      <c r="D536" t="str">
        <f>HLOOKUP(Dados!C536,'Variáveis e códigos'!$C$4:$F$5,2,FALSE)</f>
        <v>Masculino</v>
      </c>
      <c r="E536">
        <v>7</v>
      </c>
      <c r="F536">
        <v>1</v>
      </c>
      <c r="G536">
        <v>3</v>
      </c>
      <c r="H536">
        <v>2</v>
      </c>
      <c r="I536">
        <v>0</v>
      </c>
      <c r="J536">
        <v>0</v>
      </c>
      <c r="K536">
        <v>0</v>
      </c>
      <c r="L536">
        <v>0</v>
      </c>
      <c r="M536">
        <v>0</v>
      </c>
      <c r="N536">
        <v>9</v>
      </c>
    </row>
    <row r="537" spans="1:14" x14ac:dyDescent="0.2">
      <c r="A537">
        <v>536</v>
      </c>
      <c r="B537">
        <v>101</v>
      </c>
      <c r="C537">
        <v>2</v>
      </c>
      <c r="D537" t="str">
        <f>HLOOKUP(Dados!C537,'Variáveis e códigos'!$C$4:$F$5,2,FALSE)</f>
        <v>Feminino</v>
      </c>
      <c r="E537">
        <v>6</v>
      </c>
      <c r="F537">
        <v>1</v>
      </c>
      <c r="G537">
        <v>1</v>
      </c>
      <c r="H537">
        <v>0</v>
      </c>
      <c r="I537">
        <v>0</v>
      </c>
      <c r="J537">
        <v>2</v>
      </c>
      <c r="K537">
        <v>0</v>
      </c>
      <c r="L537">
        <v>0</v>
      </c>
      <c r="M537">
        <v>0</v>
      </c>
      <c r="N537">
        <v>8</v>
      </c>
    </row>
    <row r="538" spans="1:14" x14ac:dyDescent="0.2">
      <c r="A538">
        <v>537</v>
      </c>
      <c r="B538">
        <v>101</v>
      </c>
      <c r="C538">
        <v>1</v>
      </c>
      <c r="D538" t="str">
        <f>HLOOKUP(Dados!C538,'Variáveis e códigos'!$C$4:$F$5,2,FALSE)</f>
        <v>Masculino</v>
      </c>
      <c r="E538">
        <v>7</v>
      </c>
      <c r="F538">
        <v>1</v>
      </c>
      <c r="G538">
        <v>1</v>
      </c>
      <c r="H538">
        <v>0</v>
      </c>
      <c r="I538">
        <v>0</v>
      </c>
      <c r="J538">
        <v>2</v>
      </c>
      <c r="K538">
        <v>0</v>
      </c>
      <c r="L538">
        <v>0</v>
      </c>
      <c r="M538">
        <v>0</v>
      </c>
      <c r="N538">
        <v>9</v>
      </c>
    </row>
    <row r="539" spans="1:14" x14ac:dyDescent="0.2">
      <c r="A539">
        <v>538</v>
      </c>
      <c r="B539">
        <v>101</v>
      </c>
      <c r="C539">
        <v>1</v>
      </c>
      <c r="D539" t="str">
        <f>HLOOKUP(Dados!C539,'Variáveis e códigos'!$C$4:$F$5,2,FALSE)</f>
        <v>Masculino</v>
      </c>
      <c r="E539">
        <v>9</v>
      </c>
      <c r="F539">
        <v>1</v>
      </c>
      <c r="G539">
        <v>1</v>
      </c>
      <c r="H539">
        <v>1</v>
      </c>
      <c r="I539">
        <v>1</v>
      </c>
      <c r="J539">
        <v>1</v>
      </c>
      <c r="K539">
        <v>1</v>
      </c>
      <c r="L539">
        <v>0</v>
      </c>
      <c r="M539">
        <v>0</v>
      </c>
      <c r="N539">
        <v>10</v>
      </c>
    </row>
    <row r="540" spans="1:14" x14ac:dyDescent="0.2">
      <c r="A540">
        <v>539</v>
      </c>
      <c r="B540">
        <v>101</v>
      </c>
      <c r="C540">
        <v>1</v>
      </c>
      <c r="D540" t="str">
        <f>HLOOKUP(Dados!C540,'Variáveis e códigos'!$C$4:$F$5,2,FALSE)</f>
        <v>Masculino</v>
      </c>
      <c r="E540">
        <v>7</v>
      </c>
      <c r="F540">
        <v>1</v>
      </c>
      <c r="G540">
        <v>1</v>
      </c>
      <c r="H540">
        <v>0</v>
      </c>
      <c r="I540">
        <v>0</v>
      </c>
      <c r="J540">
        <v>2</v>
      </c>
      <c r="K540">
        <v>0</v>
      </c>
      <c r="L540">
        <v>0</v>
      </c>
      <c r="M540">
        <v>1</v>
      </c>
      <c r="N540">
        <v>8</v>
      </c>
    </row>
    <row r="541" spans="1:14" x14ac:dyDescent="0.2">
      <c r="A541">
        <v>540</v>
      </c>
      <c r="B541">
        <v>101</v>
      </c>
      <c r="C541">
        <v>1</v>
      </c>
      <c r="D541" t="str">
        <f>HLOOKUP(Dados!C541,'Variáveis e códigos'!$C$4:$F$5,2,FALSE)</f>
        <v>Masculino</v>
      </c>
      <c r="E541">
        <v>7</v>
      </c>
      <c r="F541">
        <v>1</v>
      </c>
      <c r="G541">
        <v>2</v>
      </c>
      <c r="H541">
        <v>1</v>
      </c>
      <c r="I541">
        <v>1</v>
      </c>
      <c r="J541">
        <v>2</v>
      </c>
      <c r="K541">
        <v>1</v>
      </c>
      <c r="L541">
        <v>1</v>
      </c>
      <c r="M541">
        <v>1</v>
      </c>
      <c r="N541">
        <v>8</v>
      </c>
    </row>
    <row r="542" spans="1:14" x14ac:dyDescent="0.2">
      <c r="A542">
        <v>541</v>
      </c>
      <c r="B542">
        <v>101</v>
      </c>
      <c r="C542">
        <v>1</v>
      </c>
      <c r="D542" t="str">
        <f>HLOOKUP(Dados!C542,'Variáveis e códigos'!$C$4:$F$5,2,FALSE)</f>
        <v>Masculino</v>
      </c>
      <c r="E542">
        <v>9</v>
      </c>
      <c r="F542">
        <v>1</v>
      </c>
      <c r="G542">
        <v>3</v>
      </c>
      <c r="H542">
        <v>2</v>
      </c>
      <c r="I542">
        <v>0</v>
      </c>
      <c r="J542">
        <v>2</v>
      </c>
      <c r="K542">
        <v>0</v>
      </c>
      <c r="L542">
        <v>0</v>
      </c>
      <c r="M542">
        <v>0</v>
      </c>
      <c r="N542">
        <v>9</v>
      </c>
    </row>
    <row r="543" spans="1:14" x14ac:dyDescent="0.2">
      <c r="A543">
        <v>542</v>
      </c>
      <c r="B543">
        <v>101</v>
      </c>
      <c r="C543">
        <v>1</v>
      </c>
      <c r="D543" t="str">
        <f>HLOOKUP(Dados!C543,'Variáveis e códigos'!$C$4:$F$5,2,FALSE)</f>
        <v>Masculino</v>
      </c>
      <c r="E543">
        <v>9</v>
      </c>
      <c r="F543">
        <v>1</v>
      </c>
      <c r="G543">
        <v>99</v>
      </c>
      <c r="H543">
        <v>2</v>
      </c>
      <c r="I543">
        <v>1</v>
      </c>
      <c r="J543">
        <v>1</v>
      </c>
      <c r="K543">
        <v>0</v>
      </c>
      <c r="L543">
        <v>0</v>
      </c>
      <c r="M543">
        <v>0</v>
      </c>
      <c r="N543">
        <v>9</v>
      </c>
    </row>
    <row r="544" spans="1:14" x14ac:dyDescent="0.2">
      <c r="A544">
        <v>543</v>
      </c>
      <c r="B544">
        <v>101</v>
      </c>
      <c r="C544">
        <v>1</v>
      </c>
      <c r="D544" t="str">
        <f>HLOOKUP(Dados!C544,'Variáveis e códigos'!$C$4:$F$5,2,FALSE)</f>
        <v>Masculino</v>
      </c>
      <c r="E544">
        <v>8</v>
      </c>
      <c r="F544">
        <v>1</v>
      </c>
      <c r="G544">
        <v>3</v>
      </c>
      <c r="H544">
        <v>1</v>
      </c>
      <c r="I544">
        <v>1</v>
      </c>
      <c r="J544">
        <v>0</v>
      </c>
      <c r="K544">
        <v>0</v>
      </c>
      <c r="L544">
        <v>0</v>
      </c>
      <c r="M544">
        <v>2</v>
      </c>
      <c r="N544">
        <v>8</v>
      </c>
    </row>
    <row r="545" spans="1:14" x14ac:dyDescent="0.2">
      <c r="A545">
        <v>544</v>
      </c>
      <c r="B545">
        <v>101</v>
      </c>
      <c r="C545">
        <v>1</v>
      </c>
      <c r="D545" t="str">
        <f>HLOOKUP(Dados!C545,'Variáveis e códigos'!$C$4:$F$5,2,FALSE)</f>
        <v>Masculino</v>
      </c>
      <c r="E545">
        <v>8</v>
      </c>
      <c r="F545">
        <v>1</v>
      </c>
      <c r="G545">
        <v>99</v>
      </c>
      <c r="H545">
        <v>0</v>
      </c>
      <c r="I545">
        <v>0</v>
      </c>
      <c r="J545">
        <v>2</v>
      </c>
      <c r="K545">
        <v>0</v>
      </c>
      <c r="L545">
        <v>0</v>
      </c>
      <c r="M545">
        <v>0</v>
      </c>
      <c r="N545">
        <v>8</v>
      </c>
    </row>
    <row r="546" spans="1:14" x14ac:dyDescent="0.2">
      <c r="A546">
        <v>545</v>
      </c>
      <c r="B546">
        <v>101</v>
      </c>
      <c r="C546">
        <v>1</v>
      </c>
      <c r="D546" t="str">
        <f>HLOOKUP(Dados!C546,'Variáveis e códigos'!$C$4:$F$5,2,FALSE)</f>
        <v>Masculino</v>
      </c>
      <c r="E546">
        <v>10</v>
      </c>
      <c r="F546">
        <v>1</v>
      </c>
      <c r="G546">
        <v>99</v>
      </c>
      <c r="H546">
        <v>0</v>
      </c>
      <c r="I546">
        <v>0</v>
      </c>
      <c r="J546">
        <v>2</v>
      </c>
      <c r="K546">
        <v>0</v>
      </c>
      <c r="L546">
        <v>0</v>
      </c>
      <c r="M546">
        <v>0</v>
      </c>
      <c r="N546">
        <v>9</v>
      </c>
    </row>
    <row r="547" spans="1:14" x14ac:dyDescent="0.2">
      <c r="A547">
        <v>546</v>
      </c>
      <c r="B547">
        <v>101</v>
      </c>
      <c r="C547">
        <v>1</v>
      </c>
      <c r="D547" t="str">
        <f>HLOOKUP(Dados!C547,'Variáveis e códigos'!$C$4:$F$5,2,FALSE)</f>
        <v>Masculino</v>
      </c>
      <c r="E547">
        <v>6</v>
      </c>
      <c r="F547">
        <v>1</v>
      </c>
      <c r="G547">
        <v>2</v>
      </c>
      <c r="H547">
        <v>2</v>
      </c>
      <c r="I547">
        <v>1</v>
      </c>
      <c r="J547">
        <v>1</v>
      </c>
      <c r="K547">
        <v>2</v>
      </c>
      <c r="L547">
        <v>0</v>
      </c>
      <c r="M547">
        <v>0</v>
      </c>
      <c r="N547">
        <v>9</v>
      </c>
    </row>
    <row r="548" spans="1:14" x14ac:dyDescent="0.2">
      <c r="A548">
        <v>547</v>
      </c>
      <c r="B548">
        <v>101</v>
      </c>
      <c r="C548">
        <v>2</v>
      </c>
      <c r="D548" t="str">
        <f>HLOOKUP(Dados!C548,'Variáveis e códigos'!$C$4:$F$5,2,FALSE)</f>
        <v>Feminino</v>
      </c>
      <c r="E548">
        <v>6</v>
      </c>
      <c r="F548">
        <v>1</v>
      </c>
      <c r="G548">
        <v>3</v>
      </c>
      <c r="H548">
        <v>0</v>
      </c>
      <c r="I548">
        <v>1</v>
      </c>
      <c r="J548">
        <v>1</v>
      </c>
      <c r="K548">
        <v>0</v>
      </c>
      <c r="L548">
        <v>2</v>
      </c>
      <c r="M548">
        <v>99</v>
      </c>
      <c r="N548">
        <v>8</v>
      </c>
    </row>
    <row r="549" spans="1:14" x14ac:dyDescent="0.2">
      <c r="A549">
        <v>548</v>
      </c>
      <c r="B549">
        <v>101</v>
      </c>
      <c r="C549">
        <v>1</v>
      </c>
      <c r="D549" t="str">
        <f>HLOOKUP(Dados!C549,'Variáveis e códigos'!$C$4:$F$5,2,FALSE)</f>
        <v>Masculino</v>
      </c>
      <c r="E549">
        <v>9</v>
      </c>
      <c r="F549">
        <v>1</v>
      </c>
      <c r="G549">
        <v>1</v>
      </c>
      <c r="H549">
        <v>1</v>
      </c>
      <c r="I549">
        <v>0</v>
      </c>
      <c r="J549">
        <v>1</v>
      </c>
      <c r="K549">
        <v>1</v>
      </c>
      <c r="L549">
        <v>0</v>
      </c>
      <c r="M549">
        <v>0</v>
      </c>
      <c r="N549">
        <v>8</v>
      </c>
    </row>
    <row r="550" spans="1:14" x14ac:dyDescent="0.2">
      <c r="A550">
        <v>549</v>
      </c>
      <c r="B550">
        <v>101</v>
      </c>
      <c r="C550">
        <v>2</v>
      </c>
      <c r="D550" t="str">
        <f>HLOOKUP(Dados!C550,'Variáveis e códigos'!$C$4:$F$5,2,FALSE)</f>
        <v>Feminino</v>
      </c>
      <c r="E550">
        <v>7</v>
      </c>
      <c r="F550">
        <v>1</v>
      </c>
      <c r="G550">
        <v>1</v>
      </c>
      <c r="H550">
        <v>1</v>
      </c>
      <c r="I550">
        <v>1</v>
      </c>
      <c r="J550">
        <v>1</v>
      </c>
      <c r="K550">
        <v>1</v>
      </c>
      <c r="L550">
        <v>0</v>
      </c>
      <c r="M550">
        <v>0</v>
      </c>
      <c r="N550">
        <v>8</v>
      </c>
    </row>
    <row r="551" spans="1:14" x14ac:dyDescent="0.2">
      <c r="A551">
        <v>550</v>
      </c>
      <c r="B551">
        <v>101</v>
      </c>
      <c r="C551">
        <v>1</v>
      </c>
      <c r="D551" t="str">
        <f>HLOOKUP(Dados!C551,'Variáveis e códigos'!$C$4:$F$5,2,FALSE)</f>
        <v>Masculino</v>
      </c>
      <c r="E551">
        <v>5</v>
      </c>
      <c r="F551">
        <v>0</v>
      </c>
      <c r="G551">
        <v>2</v>
      </c>
      <c r="H551">
        <v>1</v>
      </c>
      <c r="I551">
        <v>0</v>
      </c>
      <c r="J551">
        <v>1</v>
      </c>
      <c r="K551">
        <v>1</v>
      </c>
      <c r="L551">
        <v>0</v>
      </c>
      <c r="M551">
        <v>0</v>
      </c>
      <c r="N551">
        <v>10</v>
      </c>
    </row>
    <row r="552" spans="1:14" x14ac:dyDescent="0.2">
      <c r="A552">
        <v>551</v>
      </c>
      <c r="B552">
        <v>101</v>
      </c>
      <c r="C552">
        <v>1</v>
      </c>
      <c r="D552" t="str">
        <f>HLOOKUP(Dados!C552,'Variáveis e códigos'!$C$4:$F$5,2,FALSE)</f>
        <v>Masculino</v>
      </c>
      <c r="E552">
        <v>8</v>
      </c>
      <c r="F552">
        <v>1</v>
      </c>
      <c r="G552">
        <v>1</v>
      </c>
      <c r="H552">
        <v>0</v>
      </c>
      <c r="I552">
        <v>0</v>
      </c>
      <c r="J552">
        <v>2</v>
      </c>
      <c r="K552">
        <v>0</v>
      </c>
      <c r="L552">
        <v>0</v>
      </c>
      <c r="M552">
        <v>0</v>
      </c>
      <c r="N552">
        <v>8</v>
      </c>
    </row>
    <row r="553" spans="1:14" x14ac:dyDescent="0.2">
      <c r="A553">
        <v>552</v>
      </c>
      <c r="B553">
        <v>101</v>
      </c>
      <c r="C553">
        <v>2</v>
      </c>
      <c r="D553" t="str">
        <f>HLOOKUP(Dados!C553,'Variáveis e códigos'!$C$4:$F$5,2,FALSE)</f>
        <v>Feminino</v>
      </c>
      <c r="E553">
        <v>7</v>
      </c>
      <c r="F553">
        <v>1</v>
      </c>
      <c r="G553">
        <v>1</v>
      </c>
      <c r="H553">
        <v>1</v>
      </c>
      <c r="I553">
        <v>1</v>
      </c>
      <c r="J553">
        <v>2</v>
      </c>
      <c r="K553">
        <v>1</v>
      </c>
      <c r="L553">
        <v>0</v>
      </c>
      <c r="M553">
        <v>0</v>
      </c>
      <c r="N553">
        <v>7</v>
      </c>
    </row>
    <row r="554" spans="1:14" x14ac:dyDescent="0.2">
      <c r="A554">
        <v>553</v>
      </c>
      <c r="B554">
        <v>101</v>
      </c>
      <c r="C554">
        <v>2</v>
      </c>
      <c r="D554" t="str">
        <f>HLOOKUP(Dados!C554,'Variáveis e códigos'!$C$4:$F$5,2,FALSE)</f>
        <v>Feminino</v>
      </c>
      <c r="E554">
        <v>6</v>
      </c>
      <c r="F554">
        <v>1</v>
      </c>
      <c r="G554">
        <v>1</v>
      </c>
      <c r="H554">
        <v>0</v>
      </c>
      <c r="I554">
        <v>0</v>
      </c>
      <c r="J554">
        <v>1</v>
      </c>
      <c r="K554">
        <v>0</v>
      </c>
      <c r="L554">
        <v>0</v>
      </c>
      <c r="M554">
        <v>0</v>
      </c>
      <c r="N554">
        <v>7</v>
      </c>
    </row>
    <row r="555" spans="1:14" x14ac:dyDescent="0.2">
      <c r="A555">
        <v>554</v>
      </c>
      <c r="B555">
        <v>101</v>
      </c>
      <c r="C555">
        <v>2</v>
      </c>
      <c r="D555" t="str">
        <f>HLOOKUP(Dados!C555,'Variáveis e códigos'!$C$4:$F$5,2,FALSE)</f>
        <v>Feminino</v>
      </c>
      <c r="E555">
        <v>6</v>
      </c>
      <c r="F555">
        <v>1</v>
      </c>
      <c r="G555">
        <v>2</v>
      </c>
      <c r="H555">
        <v>0</v>
      </c>
      <c r="I555">
        <v>0</v>
      </c>
      <c r="J555">
        <v>2</v>
      </c>
      <c r="K555">
        <v>0</v>
      </c>
      <c r="L555">
        <v>0</v>
      </c>
      <c r="M555">
        <v>1</v>
      </c>
      <c r="N555">
        <v>7</v>
      </c>
    </row>
    <row r="556" spans="1:14" x14ac:dyDescent="0.2">
      <c r="A556">
        <v>555</v>
      </c>
      <c r="B556">
        <v>101</v>
      </c>
      <c r="C556">
        <v>1</v>
      </c>
      <c r="D556" t="str">
        <f>HLOOKUP(Dados!C556,'Variáveis e códigos'!$C$4:$F$5,2,FALSE)</f>
        <v>Masculino</v>
      </c>
      <c r="E556">
        <v>9</v>
      </c>
      <c r="F556">
        <v>1</v>
      </c>
      <c r="G556">
        <v>2</v>
      </c>
      <c r="H556">
        <v>2</v>
      </c>
      <c r="I556">
        <v>2</v>
      </c>
      <c r="J556">
        <v>1</v>
      </c>
      <c r="K556">
        <v>1</v>
      </c>
      <c r="L556">
        <v>0</v>
      </c>
      <c r="M556">
        <v>0</v>
      </c>
      <c r="N556">
        <v>9</v>
      </c>
    </row>
    <row r="557" spans="1:14" x14ac:dyDescent="0.2">
      <c r="A557">
        <v>556</v>
      </c>
      <c r="B557">
        <v>101</v>
      </c>
      <c r="C557">
        <v>1</v>
      </c>
      <c r="D557" t="str">
        <f>HLOOKUP(Dados!C557,'Variáveis e códigos'!$C$4:$F$5,2,FALSE)</f>
        <v>Masculino</v>
      </c>
      <c r="E557">
        <v>6</v>
      </c>
      <c r="F557">
        <v>1</v>
      </c>
      <c r="G557">
        <v>2</v>
      </c>
      <c r="H557">
        <v>0</v>
      </c>
      <c r="I557">
        <v>0</v>
      </c>
      <c r="J557">
        <v>2</v>
      </c>
      <c r="K557">
        <v>0</v>
      </c>
      <c r="L557">
        <v>2</v>
      </c>
      <c r="M557">
        <v>2</v>
      </c>
      <c r="N557">
        <v>10</v>
      </c>
    </row>
    <row r="558" spans="1:14" x14ac:dyDescent="0.2">
      <c r="A558">
        <v>557</v>
      </c>
      <c r="B558">
        <v>101</v>
      </c>
      <c r="C558">
        <v>1</v>
      </c>
      <c r="D558" t="str">
        <f>HLOOKUP(Dados!C558,'Variáveis e códigos'!$C$4:$F$5,2,FALSE)</f>
        <v>Masculino</v>
      </c>
      <c r="E558">
        <v>6</v>
      </c>
      <c r="F558">
        <v>1</v>
      </c>
      <c r="G558">
        <v>3</v>
      </c>
      <c r="H558">
        <v>0</v>
      </c>
      <c r="I558">
        <v>0</v>
      </c>
      <c r="J558">
        <v>2</v>
      </c>
      <c r="K558">
        <v>0</v>
      </c>
      <c r="L558">
        <v>1</v>
      </c>
      <c r="M558">
        <v>1</v>
      </c>
      <c r="N558">
        <v>9</v>
      </c>
    </row>
    <row r="559" spans="1:14" x14ac:dyDescent="0.2">
      <c r="A559">
        <v>558</v>
      </c>
      <c r="B559">
        <v>101</v>
      </c>
      <c r="C559">
        <v>1</v>
      </c>
      <c r="D559" t="str">
        <f>HLOOKUP(Dados!C559,'Variáveis e códigos'!$C$4:$F$5,2,FALSE)</f>
        <v>Masculino</v>
      </c>
      <c r="E559">
        <v>7</v>
      </c>
      <c r="F559">
        <v>1</v>
      </c>
      <c r="G559">
        <v>1</v>
      </c>
      <c r="H559">
        <v>2</v>
      </c>
      <c r="I559">
        <v>2</v>
      </c>
      <c r="J559">
        <v>0</v>
      </c>
      <c r="K559">
        <v>2</v>
      </c>
      <c r="L559">
        <v>2</v>
      </c>
      <c r="M559">
        <v>0</v>
      </c>
      <c r="N559">
        <v>10</v>
      </c>
    </row>
    <row r="560" spans="1:14" x14ac:dyDescent="0.2">
      <c r="A560">
        <v>559</v>
      </c>
      <c r="B560">
        <v>101</v>
      </c>
      <c r="C560">
        <v>2</v>
      </c>
      <c r="D560" t="str">
        <f>HLOOKUP(Dados!C560,'Variáveis e códigos'!$C$4:$F$5,2,FALSE)</f>
        <v>Feminino</v>
      </c>
      <c r="E560">
        <v>8</v>
      </c>
      <c r="F560">
        <v>1</v>
      </c>
      <c r="G560">
        <v>2</v>
      </c>
      <c r="H560">
        <v>0</v>
      </c>
      <c r="I560">
        <v>0</v>
      </c>
      <c r="J560">
        <v>2</v>
      </c>
      <c r="K560">
        <v>0</v>
      </c>
      <c r="L560">
        <v>1</v>
      </c>
      <c r="M560">
        <v>0</v>
      </c>
      <c r="N560">
        <v>10</v>
      </c>
    </row>
    <row r="561" spans="1:14" x14ac:dyDescent="0.2">
      <c r="A561">
        <v>560</v>
      </c>
      <c r="B561">
        <v>101</v>
      </c>
      <c r="C561">
        <v>2</v>
      </c>
      <c r="D561" t="str">
        <f>HLOOKUP(Dados!C561,'Variáveis e códigos'!$C$4:$F$5,2,FALSE)</f>
        <v>Feminino</v>
      </c>
      <c r="E561">
        <v>10</v>
      </c>
      <c r="F561">
        <v>1</v>
      </c>
      <c r="G561">
        <v>1</v>
      </c>
      <c r="H561">
        <v>2</v>
      </c>
      <c r="I561">
        <v>2</v>
      </c>
      <c r="J561">
        <v>2</v>
      </c>
      <c r="K561">
        <v>0</v>
      </c>
      <c r="L561">
        <v>1</v>
      </c>
      <c r="M561">
        <v>1</v>
      </c>
      <c r="N561">
        <v>8</v>
      </c>
    </row>
    <row r="562" spans="1:14" x14ac:dyDescent="0.2">
      <c r="A562">
        <v>561</v>
      </c>
      <c r="B562">
        <v>101</v>
      </c>
      <c r="C562">
        <v>2</v>
      </c>
      <c r="D562" t="str">
        <f>HLOOKUP(Dados!C562,'Variáveis e códigos'!$C$4:$F$5,2,FALSE)</f>
        <v>Feminino</v>
      </c>
      <c r="E562">
        <v>8</v>
      </c>
      <c r="F562">
        <v>1</v>
      </c>
      <c r="G562">
        <v>2</v>
      </c>
      <c r="H562">
        <v>0</v>
      </c>
      <c r="I562">
        <v>0</v>
      </c>
      <c r="J562">
        <v>2</v>
      </c>
      <c r="K562">
        <v>0</v>
      </c>
      <c r="L562">
        <v>0</v>
      </c>
      <c r="M562">
        <v>0</v>
      </c>
      <c r="N562">
        <v>8</v>
      </c>
    </row>
    <row r="563" spans="1:14" x14ac:dyDescent="0.2">
      <c r="A563">
        <v>562</v>
      </c>
      <c r="B563">
        <v>101</v>
      </c>
      <c r="C563">
        <v>2</v>
      </c>
      <c r="D563" t="str">
        <f>HLOOKUP(Dados!C563,'Variáveis e códigos'!$C$4:$F$5,2,FALSE)</f>
        <v>Feminino</v>
      </c>
      <c r="E563">
        <v>8</v>
      </c>
      <c r="F563">
        <v>1</v>
      </c>
      <c r="G563">
        <v>2</v>
      </c>
      <c r="H563">
        <v>0</v>
      </c>
      <c r="I563">
        <v>2</v>
      </c>
      <c r="J563">
        <v>2</v>
      </c>
      <c r="K563">
        <v>0</v>
      </c>
      <c r="L563">
        <v>1</v>
      </c>
      <c r="M563">
        <v>2</v>
      </c>
      <c r="N563">
        <v>7</v>
      </c>
    </row>
    <row r="564" spans="1:14" x14ac:dyDescent="0.2">
      <c r="A564">
        <v>563</v>
      </c>
      <c r="B564">
        <v>101</v>
      </c>
      <c r="C564">
        <v>2</v>
      </c>
      <c r="D564" t="str">
        <f>HLOOKUP(Dados!C564,'Variáveis e códigos'!$C$4:$F$5,2,FALSE)</f>
        <v>Feminino</v>
      </c>
      <c r="E564">
        <v>8</v>
      </c>
      <c r="F564">
        <v>1</v>
      </c>
      <c r="G564">
        <v>1</v>
      </c>
      <c r="H564">
        <v>0</v>
      </c>
      <c r="I564">
        <v>0</v>
      </c>
      <c r="J564">
        <v>2</v>
      </c>
      <c r="K564">
        <v>0</v>
      </c>
      <c r="L564">
        <v>0</v>
      </c>
      <c r="M564">
        <v>1</v>
      </c>
      <c r="N564">
        <v>8</v>
      </c>
    </row>
    <row r="565" spans="1:14" x14ac:dyDescent="0.2">
      <c r="A565">
        <v>564</v>
      </c>
      <c r="B565">
        <v>101</v>
      </c>
      <c r="C565">
        <v>1</v>
      </c>
      <c r="D565" t="str">
        <f>HLOOKUP(Dados!C565,'Variáveis e códigos'!$C$4:$F$5,2,FALSE)</f>
        <v>Masculino</v>
      </c>
      <c r="E565">
        <v>8</v>
      </c>
      <c r="F565">
        <v>1</v>
      </c>
      <c r="G565">
        <v>2</v>
      </c>
      <c r="H565">
        <v>2</v>
      </c>
      <c r="I565">
        <v>2</v>
      </c>
      <c r="J565">
        <v>2</v>
      </c>
      <c r="K565">
        <v>0</v>
      </c>
      <c r="L565">
        <v>2</v>
      </c>
      <c r="M565">
        <v>2</v>
      </c>
      <c r="N565">
        <v>8</v>
      </c>
    </row>
    <row r="566" spans="1:14" x14ac:dyDescent="0.2">
      <c r="A566">
        <v>565</v>
      </c>
      <c r="B566">
        <v>101</v>
      </c>
      <c r="C566">
        <v>2</v>
      </c>
      <c r="D566" t="str">
        <f>HLOOKUP(Dados!C566,'Variáveis e códigos'!$C$4:$F$5,2,FALSE)</f>
        <v>Feminino</v>
      </c>
      <c r="E566">
        <v>8</v>
      </c>
      <c r="F566">
        <v>1</v>
      </c>
      <c r="G566">
        <v>2</v>
      </c>
      <c r="H566">
        <v>0</v>
      </c>
      <c r="I566">
        <v>0</v>
      </c>
      <c r="J566">
        <v>2</v>
      </c>
      <c r="K566">
        <v>0</v>
      </c>
      <c r="L566">
        <v>0</v>
      </c>
      <c r="M566">
        <v>1</v>
      </c>
      <c r="N566">
        <v>8</v>
      </c>
    </row>
    <row r="567" spans="1:14" x14ac:dyDescent="0.2">
      <c r="A567">
        <v>566</v>
      </c>
      <c r="B567">
        <v>101</v>
      </c>
      <c r="C567">
        <v>2</v>
      </c>
      <c r="D567" t="str">
        <f>HLOOKUP(Dados!C567,'Variáveis e códigos'!$C$4:$F$5,2,FALSE)</f>
        <v>Feminino</v>
      </c>
      <c r="E567">
        <v>8</v>
      </c>
      <c r="F567">
        <v>1</v>
      </c>
      <c r="G567">
        <v>2</v>
      </c>
      <c r="H567">
        <v>1</v>
      </c>
      <c r="I567">
        <v>1</v>
      </c>
      <c r="J567">
        <v>2</v>
      </c>
      <c r="K567">
        <v>0</v>
      </c>
      <c r="L567">
        <v>0</v>
      </c>
      <c r="M567">
        <v>0</v>
      </c>
      <c r="N567">
        <v>7</v>
      </c>
    </row>
    <row r="568" spans="1:14" x14ac:dyDescent="0.2">
      <c r="A568">
        <v>567</v>
      </c>
      <c r="B568">
        <v>101</v>
      </c>
      <c r="C568">
        <v>2</v>
      </c>
      <c r="D568" t="str">
        <f>HLOOKUP(Dados!C568,'Variáveis e códigos'!$C$4:$F$5,2,FALSE)</f>
        <v>Feminino</v>
      </c>
      <c r="E568">
        <v>8</v>
      </c>
      <c r="F568">
        <v>1</v>
      </c>
      <c r="G568">
        <v>3</v>
      </c>
      <c r="H568">
        <v>0</v>
      </c>
      <c r="I568">
        <v>0</v>
      </c>
      <c r="J568">
        <v>2</v>
      </c>
      <c r="K568">
        <v>0</v>
      </c>
      <c r="L568">
        <v>1</v>
      </c>
      <c r="M568">
        <v>0</v>
      </c>
      <c r="N568">
        <v>9</v>
      </c>
    </row>
    <row r="569" spans="1:14" x14ac:dyDescent="0.2">
      <c r="A569">
        <v>568</v>
      </c>
      <c r="B569">
        <v>101</v>
      </c>
      <c r="C569">
        <v>1</v>
      </c>
      <c r="D569" t="str">
        <f>HLOOKUP(Dados!C569,'Variáveis e códigos'!$C$4:$F$5,2,FALSE)</f>
        <v>Masculino</v>
      </c>
      <c r="E569">
        <v>6</v>
      </c>
      <c r="F569">
        <v>1</v>
      </c>
      <c r="G569">
        <v>2</v>
      </c>
      <c r="H569">
        <v>0</v>
      </c>
      <c r="I569">
        <v>0</v>
      </c>
      <c r="J569">
        <v>2</v>
      </c>
      <c r="K569">
        <v>0</v>
      </c>
      <c r="L569">
        <v>0</v>
      </c>
      <c r="M569">
        <v>1</v>
      </c>
      <c r="N569">
        <v>8</v>
      </c>
    </row>
    <row r="570" spans="1:14" x14ac:dyDescent="0.2">
      <c r="A570">
        <v>569</v>
      </c>
      <c r="B570">
        <v>101</v>
      </c>
      <c r="C570">
        <v>2</v>
      </c>
      <c r="D570" t="str">
        <f>HLOOKUP(Dados!C570,'Variáveis e códigos'!$C$4:$F$5,2,FALSE)</f>
        <v>Feminino</v>
      </c>
      <c r="E570">
        <v>8</v>
      </c>
      <c r="F570">
        <v>1</v>
      </c>
      <c r="G570">
        <v>1</v>
      </c>
      <c r="H570">
        <v>1</v>
      </c>
      <c r="I570">
        <v>1</v>
      </c>
      <c r="J570">
        <v>2</v>
      </c>
      <c r="K570">
        <v>0</v>
      </c>
      <c r="L570">
        <v>0</v>
      </c>
      <c r="M570">
        <v>0</v>
      </c>
      <c r="N570">
        <v>7</v>
      </c>
    </row>
    <row r="571" spans="1:14" x14ac:dyDescent="0.2">
      <c r="A571">
        <v>570</v>
      </c>
      <c r="B571">
        <v>101</v>
      </c>
      <c r="C571">
        <v>1</v>
      </c>
      <c r="D571" t="str">
        <f>HLOOKUP(Dados!C571,'Variáveis e códigos'!$C$4:$F$5,2,FALSE)</f>
        <v>Masculino</v>
      </c>
      <c r="E571">
        <v>9</v>
      </c>
      <c r="F571">
        <v>1</v>
      </c>
      <c r="G571">
        <v>2</v>
      </c>
      <c r="H571">
        <v>0</v>
      </c>
      <c r="I571">
        <v>0</v>
      </c>
      <c r="J571">
        <v>2</v>
      </c>
      <c r="K571">
        <v>0</v>
      </c>
      <c r="L571">
        <v>1</v>
      </c>
      <c r="M571">
        <v>0</v>
      </c>
      <c r="N571">
        <v>8</v>
      </c>
    </row>
    <row r="572" spans="1:14" x14ac:dyDescent="0.2">
      <c r="A572">
        <v>571</v>
      </c>
      <c r="B572">
        <v>101</v>
      </c>
      <c r="C572">
        <v>2</v>
      </c>
      <c r="D572" t="str">
        <f>HLOOKUP(Dados!C572,'Variáveis e códigos'!$C$4:$F$5,2,FALSE)</f>
        <v>Feminino</v>
      </c>
      <c r="E572">
        <v>9</v>
      </c>
      <c r="F572">
        <v>1</v>
      </c>
      <c r="G572">
        <v>3</v>
      </c>
      <c r="H572">
        <v>0</v>
      </c>
      <c r="I572">
        <v>1</v>
      </c>
      <c r="J572">
        <v>2</v>
      </c>
      <c r="K572">
        <v>1</v>
      </c>
      <c r="L572">
        <v>0</v>
      </c>
      <c r="M572">
        <v>0</v>
      </c>
      <c r="N572">
        <v>9</v>
      </c>
    </row>
    <row r="573" spans="1:14" x14ac:dyDescent="0.2">
      <c r="A573">
        <v>572</v>
      </c>
      <c r="B573">
        <v>101</v>
      </c>
      <c r="C573">
        <v>1</v>
      </c>
      <c r="D573" t="str">
        <f>HLOOKUP(Dados!C573,'Variáveis e códigos'!$C$4:$F$5,2,FALSE)</f>
        <v>Masculino</v>
      </c>
      <c r="E573">
        <v>7</v>
      </c>
      <c r="F573">
        <v>1</v>
      </c>
      <c r="G573">
        <v>2</v>
      </c>
      <c r="H573">
        <v>1</v>
      </c>
      <c r="I573">
        <v>0</v>
      </c>
      <c r="J573">
        <v>2</v>
      </c>
      <c r="K573">
        <v>0</v>
      </c>
      <c r="L573">
        <v>0</v>
      </c>
      <c r="M573">
        <v>0</v>
      </c>
      <c r="N573">
        <v>8</v>
      </c>
    </row>
    <row r="574" spans="1:14" x14ac:dyDescent="0.2">
      <c r="A574">
        <v>573</v>
      </c>
      <c r="B574">
        <v>101</v>
      </c>
      <c r="C574">
        <v>2</v>
      </c>
      <c r="D574" t="str">
        <f>HLOOKUP(Dados!C574,'Variáveis e códigos'!$C$4:$F$5,2,FALSE)</f>
        <v>Feminino</v>
      </c>
      <c r="E574">
        <v>8</v>
      </c>
      <c r="F574">
        <v>1</v>
      </c>
      <c r="G574">
        <v>1</v>
      </c>
      <c r="H574">
        <v>1</v>
      </c>
      <c r="I574">
        <v>1</v>
      </c>
      <c r="J574">
        <v>1</v>
      </c>
      <c r="K574">
        <v>0</v>
      </c>
      <c r="L574">
        <v>0</v>
      </c>
      <c r="M574">
        <v>0</v>
      </c>
      <c r="N574">
        <v>10</v>
      </c>
    </row>
    <row r="575" spans="1:14" x14ac:dyDescent="0.2">
      <c r="A575">
        <v>574</v>
      </c>
      <c r="B575">
        <v>101</v>
      </c>
      <c r="C575">
        <v>1</v>
      </c>
      <c r="D575" t="str">
        <f>HLOOKUP(Dados!C575,'Variáveis e códigos'!$C$4:$F$5,2,FALSE)</f>
        <v>Masculino</v>
      </c>
      <c r="E575">
        <v>8</v>
      </c>
      <c r="F575">
        <v>1</v>
      </c>
      <c r="G575">
        <v>2</v>
      </c>
      <c r="H575">
        <v>0</v>
      </c>
      <c r="I575">
        <v>0</v>
      </c>
      <c r="J575">
        <v>2</v>
      </c>
      <c r="K575">
        <v>0</v>
      </c>
      <c r="L575">
        <v>0</v>
      </c>
      <c r="M575">
        <v>0</v>
      </c>
      <c r="N575">
        <v>9</v>
      </c>
    </row>
    <row r="576" spans="1:14" x14ac:dyDescent="0.2">
      <c r="A576">
        <v>575</v>
      </c>
      <c r="B576">
        <v>101</v>
      </c>
      <c r="C576">
        <v>1</v>
      </c>
      <c r="D576" t="str">
        <f>HLOOKUP(Dados!C576,'Variáveis e códigos'!$C$4:$F$5,2,FALSE)</f>
        <v>Masculino</v>
      </c>
      <c r="E576">
        <v>9</v>
      </c>
      <c r="F576">
        <v>1</v>
      </c>
      <c r="G576">
        <v>99</v>
      </c>
      <c r="H576">
        <v>0</v>
      </c>
      <c r="I576">
        <v>2</v>
      </c>
      <c r="J576">
        <v>1</v>
      </c>
      <c r="K576">
        <v>1</v>
      </c>
      <c r="L576">
        <v>1</v>
      </c>
      <c r="M576">
        <v>1</v>
      </c>
      <c r="N576">
        <v>10</v>
      </c>
    </row>
    <row r="577" spans="1:14" x14ac:dyDescent="0.2">
      <c r="A577">
        <v>576</v>
      </c>
      <c r="B577">
        <v>101</v>
      </c>
      <c r="C577">
        <v>1</v>
      </c>
      <c r="D577" t="str">
        <f>HLOOKUP(Dados!C577,'Variáveis e códigos'!$C$4:$F$5,2,FALSE)</f>
        <v>Masculino</v>
      </c>
      <c r="E577">
        <v>7</v>
      </c>
      <c r="F577">
        <v>1</v>
      </c>
      <c r="G577">
        <v>3</v>
      </c>
      <c r="H577">
        <v>0</v>
      </c>
      <c r="I577">
        <v>0</v>
      </c>
      <c r="J577">
        <v>2</v>
      </c>
      <c r="K577">
        <v>0</v>
      </c>
      <c r="L577">
        <v>0</v>
      </c>
      <c r="M577">
        <v>0</v>
      </c>
      <c r="N577">
        <v>8</v>
      </c>
    </row>
    <row r="578" spans="1:14" x14ac:dyDescent="0.2">
      <c r="A578">
        <v>577</v>
      </c>
      <c r="B578">
        <v>101</v>
      </c>
      <c r="C578">
        <v>1</v>
      </c>
      <c r="D578" t="str">
        <f>HLOOKUP(Dados!C578,'Variáveis e códigos'!$C$4:$F$5,2,FALSE)</f>
        <v>Masculino</v>
      </c>
      <c r="E578">
        <v>7</v>
      </c>
      <c r="F578">
        <v>1</v>
      </c>
      <c r="G578">
        <v>2</v>
      </c>
      <c r="H578">
        <v>1</v>
      </c>
      <c r="I578">
        <v>0</v>
      </c>
      <c r="J578">
        <v>2</v>
      </c>
      <c r="K578">
        <v>1</v>
      </c>
      <c r="L578">
        <v>0</v>
      </c>
      <c r="M578">
        <v>0</v>
      </c>
      <c r="N578">
        <v>8</v>
      </c>
    </row>
    <row r="579" spans="1:14" x14ac:dyDescent="0.2">
      <c r="A579">
        <v>578</v>
      </c>
      <c r="B579">
        <v>101</v>
      </c>
      <c r="C579">
        <v>1</v>
      </c>
      <c r="D579" t="str">
        <f>HLOOKUP(Dados!C579,'Variáveis e códigos'!$C$4:$F$5,2,FALSE)</f>
        <v>Masculino</v>
      </c>
      <c r="E579">
        <v>9</v>
      </c>
      <c r="F579">
        <v>1</v>
      </c>
      <c r="G579">
        <v>99</v>
      </c>
      <c r="H579">
        <v>2</v>
      </c>
      <c r="I579">
        <v>2</v>
      </c>
      <c r="J579">
        <v>0</v>
      </c>
      <c r="K579">
        <v>2</v>
      </c>
      <c r="L579">
        <v>2</v>
      </c>
      <c r="M579">
        <v>1</v>
      </c>
      <c r="N579">
        <v>8</v>
      </c>
    </row>
    <row r="580" spans="1:14" x14ac:dyDescent="0.2">
      <c r="A580">
        <v>579</v>
      </c>
      <c r="B580">
        <v>101</v>
      </c>
      <c r="C580">
        <v>2</v>
      </c>
      <c r="D580" t="str">
        <f>HLOOKUP(Dados!C580,'Variáveis e códigos'!$C$4:$F$5,2,FALSE)</f>
        <v>Feminino</v>
      </c>
      <c r="E580">
        <v>9</v>
      </c>
      <c r="F580">
        <v>1</v>
      </c>
      <c r="G580">
        <v>2</v>
      </c>
      <c r="H580">
        <v>0</v>
      </c>
      <c r="I580">
        <v>0</v>
      </c>
      <c r="J580">
        <v>2</v>
      </c>
      <c r="K580">
        <v>0</v>
      </c>
      <c r="L580">
        <v>2</v>
      </c>
      <c r="M580">
        <v>1</v>
      </c>
      <c r="N580">
        <v>9</v>
      </c>
    </row>
    <row r="581" spans="1:14" x14ac:dyDescent="0.2">
      <c r="A581">
        <v>580</v>
      </c>
      <c r="B581">
        <v>101</v>
      </c>
      <c r="C581">
        <v>2</v>
      </c>
      <c r="D581" t="str">
        <f>HLOOKUP(Dados!C581,'Variáveis e códigos'!$C$4:$F$5,2,FALSE)</f>
        <v>Feminino</v>
      </c>
      <c r="E581">
        <v>9</v>
      </c>
      <c r="F581">
        <v>1</v>
      </c>
      <c r="G581">
        <v>1</v>
      </c>
      <c r="H581">
        <v>0</v>
      </c>
      <c r="I581">
        <v>0</v>
      </c>
      <c r="J581">
        <v>2</v>
      </c>
      <c r="K581">
        <v>0</v>
      </c>
      <c r="L581">
        <v>1</v>
      </c>
      <c r="M581">
        <v>1</v>
      </c>
      <c r="N581">
        <v>9</v>
      </c>
    </row>
    <row r="582" spans="1:14" x14ac:dyDescent="0.2">
      <c r="A582">
        <v>581</v>
      </c>
      <c r="B582">
        <v>101</v>
      </c>
      <c r="C582">
        <v>2</v>
      </c>
      <c r="D582" t="str">
        <f>HLOOKUP(Dados!C582,'Variáveis e códigos'!$C$4:$F$5,2,FALSE)</f>
        <v>Feminino</v>
      </c>
      <c r="E582">
        <v>10</v>
      </c>
      <c r="F582">
        <v>1</v>
      </c>
      <c r="G582">
        <v>1</v>
      </c>
      <c r="H582">
        <v>2</v>
      </c>
      <c r="I582">
        <v>1</v>
      </c>
      <c r="J582">
        <v>2</v>
      </c>
      <c r="K582">
        <v>1</v>
      </c>
      <c r="L582">
        <v>2</v>
      </c>
      <c r="M582">
        <v>2</v>
      </c>
      <c r="N582">
        <v>9</v>
      </c>
    </row>
    <row r="583" spans="1:14" x14ac:dyDescent="0.2">
      <c r="A583">
        <v>582</v>
      </c>
      <c r="B583">
        <v>101</v>
      </c>
      <c r="C583">
        <v>2</v>
      </c>
      <c r="D583" t="str">
        <f>HLOOKUP(Dados!C583,'Variáveis e códigos'!$C$4:$F$5,2,FALSE)</f>
        <v>Feminino</v>
      </c>
      <c r="E583">
        <v>7</v>
      </c>
      <c r="F583">
        <v>1</v>
      </c>
      <c r="G583">
        <v>2</v>
      </c>
      <c r="H583">
        <v>0</v>
      </c>
      <c r="I583">
        <v>0</v>
      </c>
      <c r="J583">
        <v>2</v>
      </c>
      <c r="K583">
        <v>0</v>
      </c>
      <c r="L583">
        <v>2</v>
      </c>
      <c r="M583">
        <v>1</v>
      </c>
      <c r="N583">
        <v>10</v>
      </c>
    </row>
    <row r="584" spans="1:14" x14ac:dyDescent="0.2">
      <c r="A584">
        <v>583</v>
      </c>
      <c r="B584">
        <v>101</v>
      </c>
      <c r="C584">
        <v>2</v>
      </c>
      <c r="D584" t="str">
        <f>HLOOKUP(Dados!C584,'Variáveis e códigos'!$C$4:$F$5,2,FALSE)</f>
        <v>Feminino</v>
      </c>
      <c r="E584">
        <v>6</v>
      </c>
      <c r="F584">
        <v>1</v>
      </c>
      <c r="G584">
        <v>2</v>
      </c>
      <c r="H584">
        <v>0</v>
      </c>
      <c r="I584">
        <v>0</v>
      </c>
      <c r="J584">
        <v>2</v>
      </c>
      <c r="K584">
        <v>0</v>
      </c>
      <c r="L584">
        <v>0</v>
      </c>
      <c r="M584">
        <v>0</v>
      </c>
      <c r="N584">
        <v>7</v>
      </c>
    </row>
    <row r="585" spans="1:14" x14ac:dyDescent="0.2">
      <c r="A585">
        <v>584</v>
      </c>
      <c r="B585">
        <v>101</v>
      </c>
      <c r="C585">
        <v>2</v>
      </c>
      <c r="D585" t="str">
        <f>HLOOKUP(Dados!C585,'Variáveis e códigos'!$C$4:$F$5,2,FALSE)</f>
        <v>Feminino</v>
      </c>
      <c r="E585">
        <v>4</v>
      </c>
      <c r="F585">
        <v>0</v>
      </c>
      <c r="G585">
        <v>3</v>
      </c>
      <c r="H585">
        <v>1</v>
      </c>
      <c r="I585">
        <v>0</v>
      </c>
      <c r="J585">
        <v>2</v>
      </c>
      <c r="K585">
        <v>0</v>
      </c>
      <c r="L585">
        <v>1</v>
      </c>
      <c r="M585">
        <v>1</v>
      </c>
      <c r="N585">
        <v>10</v>
      </c>
    </row>
    <row r="586" spans="1:14" x14ac:dyDescent="0.2">
      <c r="A586">
        <v>585</v>
      </c>
      <c r="B586">
        <v>101</v>
      </c>
      <c r="C586">
        <v>1</v>
      </c>
      <c r="D586" t="str">
        <f>HLOOKUP(Dados!C586,'Variáveis e códigos'!$C$4:$F$5,2,FALSE)</f>
        <v>Masculino</v>
      </c>
      <c r="E586">
        <v>7</v>
      </c>
      <c r="F586">
        <v>1</v>
      </c>
      <c r="G586">
        <v>2</v>
      </c>
      <c r="H586">
        <v>0</v>
      </c>
      <c r="I586">
        <v>0</v>
      </c>
      <c r="J586">
        <v>1</v>
      </c>
      <c r="K586">
        <v>0</v>
      </c>
      <c r="L586">
        <v>0</v>
      </c>
      <c r="M586">
        <v>0</v>
      </c>
      <c r="N586">
        <v>8</v>
      </c>
    </row>
    <row r="587" spans="1:14" x14ac:dyDescent="0.2">
      <c r="A587">
        <v>586</v>
      </c>
      <c r="B587">
        <v>101</v>
      </c>
      <c r="C587">
        <v>1</v>
      </c>
      <c r="D587" t="str">
        <f>HLOOKUP(Dados!C587,'Variáveis e códigos'!$C$4:$F$5,2,FALSE)</f>
        <v>Masculino</v>
      </c>
      <c r="E587">
        <v>8</v>
      </c>
      <c r="F587">
        <v>1</v>
      </c>
      <c r="G587">
        <v>2</v>
      </c>
      <c r="H587">
        <v>1</v>
      </c>
      <c r="I587">
        <v>0</v>
      </c>
      <c r="J587">
        <v>2</v>
      </c>
      <c r="K587">
        <v>1</v>
      </c>
      <c r="L587">
        <v>0</v>
      </c>
      <c r="M587">
        <v>0</v>
      </c>
      <c r="N587">
        <v>9</v>
      </c>
    </row>
    <row r="588" spans="1:14" x14ac:dyDescent="0.2">
      <c r="A588">
        <v>587</v>
      </c>
      <c r="B588">
        <v>101</v>
      </c>
      <c r="C588">
        <v>2</v>
      </c>
      <c r="D588" t="str">
        <f>HLOOKUP(Dados!C588,'Variáveis e códigos'!$C$4:$F$5,2,FALSE)</f>
        <v>Feminino</v>
      </c>
      <c r="E588">
        <v>8</v>
      </c>
      <c r="F588">
        <v>1</v>
      </c>
      <c r="G588">
        <v>2</v>
      </c>
      <c r="H588">
        <v>0</v>
      </c>
      <c r="I588">
        <v>0</v>
      </c>
      <c r="J588">
        <v>2</v>
      </c>
      <c r="K588">
        <v>0</v>
      </c>
      <c r="L588">
        <v>0</v>
      </c>
      <c r="M588">
        <v>0</v>
      </c>
      <c r="N588">
        <v>8</v>
      </c>
    </row>
    <row r="589" spans="1:14" x14ac:dyDescent="0.2">
      <c r="A589">
        <v>588</v>
      </c>
      <c r="B589">
        <v>101</v>
      </c>
      <c r="C589">
        <v>1</v>
      </c>
      <c r="D589" t="str">
        <f>HLOOKUP(Dados!C589,'Variáveis e códigos'!$C$4:$F$5,2,FALSE)</f>
        <v>Masculino</v>
      </c>
      <c r="E589">
        <v>10</v>
      </c>
      <c r="F589">
        <v>1</v>
      </c>
      <c r="G589">
        <v>99</v>
      </c>
      <c r="H589">
        <v>0</v>
      </c>
      <c r="I589">
        <v>0</v>
      </c>
      <c r="J589">
        <v>2</v>
      </c>
      <c r="K589">
        <v>0</v>
      </c>
      <c r="L589">
        <v>0</v>
      </c>
      <c r="M589">
        <v>0</v>
      </c>
      <c r="N589">
        <v>8</v>
      </c>
    </row>
    <row r="590" spans="1:14" x14ac:dyDescent="0.2">
      <c r="A590">
        <v>589</v>
      </c>
      <c r="B590">
        <v>101</v>
      </c>
      <c r="C590">
        <v>1</v>
      </c>
      <c r="D590" t="str">
        <f>HLOOKUP(Dados!C590,'Variáveis e códigos'!$C$4:$F$5,2,FALSE)</f>
        <v>Masculino</v>
      </c>
      <c r="E590">
        <v>9</v>
      </c>
      <c r="F590">
        <v>1</v>
      </c>
      <c r="G590">
        <v>3</v>
      </c>
      <c r="H590">
        <v>1</v>
      </c>
      <c r="I590">
        <v>0</v>
      </c>
      <c r="J590">
        <v>2</v>
      </c>
      <c r="K590">
        <v>0</v>
      </c>
      <c r="L590">
        <v>0</v>
      </c>
      <c r="M590">
        <v>0</v>
      </c>
      <c r="N590">
        <v>7</v>
      </c>
    </row>
    <row r="591" spans="1:14" x14ac:dyDescent="0.2">
      <c r="A591">
        <v>590</v>
      </c>
      <c r="B591">
        <v>101</v>
      </c>
      <c r="C591">
        <v>2</v>
      </c>
      <c r="D591" t="str">
        <f>HLOOKUP(Dados!C591,'Variáveis e códigos'!$C$4:$F$5,2,FALSE)</f>
        <v>Feminino</v>
      </c>
      <c r="E591">
        <v>5</v>
      </c>
      <c r="F591">
        <v>1</v>
      </c>
      <c r="G591">
        <v>3</v>
      </c>
      <c r="H591">
        <v>1</v>
      </c>
      <c r="I591">
        <v>0</v>
      </c>
      <c r="J591">
        <v>2</v>
      </c>
      <c r="K591">
        <v>0</v>
      </c>
      <c r="L591">
        <v>0</v>
      </c>
      <c r="M591">
        <v>0</v>
      </c>
      <c r="N591">
        <v>10</v>
      </c>
    </row>
    <row r="592" spans="1:14" x14ac:dyDescent="0.2">
      <c r="A592">
        <v>591</v>
      </c>
      <c r="B592">
        <v>101</v>
      </c>
      <c r="C592">
        <v>2</v>
      </c>
      <c r="D592" t="str">
        <f>HLOOKUP(Dados!C592,'Variáveis e códigos'!$C$4:$F$5,2,FALSE)</f>
        <v>Feminino</v>
      </c>
      <c r="E592">
        <v>6</v>
      </c>
      <c r="F592">
        <v>1</v>
      </c>
      <c r="G592">
        <v>2</v>
      </c>
      <c r="H592">
        <v>0</v>
      </c>
      <c r="I592">
        <v>0</v>
      </c>
      <c r="J592">
        <v>2</v>
      </c>
      <c r="K592">
        <v>0</v>
      </c>
      <c r="L592">
        <v>0</v>
      </c>
      <c r="M592">
        <v>0</v>
      </c>
      <c r="N592">
        <v>8</v>
      </c>
    </row>
    <row r="593" spans="1:14" x14ac:dyDescent="0.2">
      <c r="A593">
        <v>592</v>
      </c>
      <c r="B593">
        <v>101</v>
      </c>
      <c r="C593">
        <v>1</v>
      </c>
      <c r="D593" t="str">
        <f>HLOOKUP(Dados!C593,'Variáveis e códigos'!$C$4:$F$5,2,FALSE)</f>
        <v>Masculino</v>
      </c>
      <c r="E593">
        <v>8</v>
      </c>
      <c r="F593">
        <v>1</v>
      </c>
      <c r="G593">
        <v>2</v>
      </c>
      <c r="H593">
        <v>1</v>
      </c>
      <c r="I593">
        <v>0</v>
      </c>
      <c r="J593">
        <v>2</v>
      </c>
      <c r="K593">
        <v>0</v>
      </c>
      <c r="L593">
        <v>1</v>
      </c>
      <c r="M593">
        <v>1</v>
      </c>
      <c r="N593">
        <v>8</v>
      </c>
    </row>
    <row r="594" spans="1:14" x14ac:dyDescent="0.2">
      <c r="A594">
        <v>593</v>
      </c>
      <c r="B594">
        <v>101</v>
      </c>
      <c r="C594">
        <v>2</v>
      </c>
      <c r="D594" t="str">
        <f>HLOOKUP(Dados!C594,'Variáveis e códigos'!$C$4:$F$5,2,FALSE)</f>
        <v>Feminino</v>
      </c>
      <c r="E594">
        <v>7</v>
      </c>
      <c r="F594">
        <v>1</v>
      </c>
      <c r="G594">
        <v>3</v>
      </c>
      <c r="H594">
        <v>1</v>
      </c>
      <c r="I594">
        <v>1</v>
      </c>
      <c r="J594">
        <v>2</v>
      </c>
      <c r="K594">
        <v>0</v>
      </c>
      <c r="L594">
        <v>0</v>
      </c>
      <c r="M594">
        <v>0</v>
      </c>
      <c r="N594">
        <v>9</v>
      </c>
    </row>
    <row r="595" spans="1:14" x14ac:dyDescent="0.2">
      <c r="A595">
        <v>594</v>
      </c>
      <c r="B595">
        <v>101</v>
      </c>
      <c r="C595">
        <v>2</v>
      </c>
      <c r="D595" t="str">
        <f>HLOOKUP(Dados!C595,'Variáveis e códigos'!$C$4:$F$5,2,FALSE)</f>
        <v>Feminino</v>
      </c>
      <c r="E595">
        <v>8</v>
      </c>
      <c r="F595">
        <v>1</v>
      </c>
      <c r="G595">
        <v>2</v>
      </c>
      <c r="H595">
        <v>0</v>
      </c>
      <c r="I595">
        <v>2</v>
      </c>
      <c r="J595">
        <v>2</v>
      </c>
      <c r="K595">
        <v>0</v>
      </c>
      <c r="L595">
        <v>2</v>
      </c>
      <c r="M595">
        <v>2</v>
      </c>
      <c r="N595">
        <v>9</v>
      </c>
    </row>
    <row r="596" spans="1:14" x14ac:dyDescent="0.2">
      <c r="A596">
        <v>595</v>
      </c>
      <c r="B596">
        <v>101</v>
      </c>
      <c r="C596">
        <v>1</v>
      </c>
      <c r="D596" t="str">
        <f>HLOOKUP(Dados!C596,'Variáveis e códigos'!$C$4:$F$5,2,FALSE)</f>
        <v>Masculino</v>
      </c>
      <c r="E596">
        <v>7</v>
      </c>
      <c r="F596">
        <v>1</v>
      </c>
      <c r="G596">
        <v>2</v>
      </c>
      <c r="H596">
        <v>1</v>
      </c>
      <c r="I596">
        <v>0</v>
      </c>
      <c r="J596">
        <v>2</v>
      </c>
      <c r="K596">
        <v>0</v>
      </c>
      <c r="L596">
        <v>0</v>
      </c>
      <c r="M596">
        <v>0</v>
      </c>
      <c r="N596">
        <v>8</v>
      </c>
    </row>
    <row r="597" spans="1:14" x14ac:dyDescent="0.2">
      <c r="A597">
        <v>596</v>
      </c>
      <c r="B597">
        <v>101</v>
      </c>
      <c r="C597">
        <v>2</v>
      </c>
      <c r="D597" t="str">
        <f>HLOOKUP(Dados!C597,'Variáveis e códigos'!$C$4:$F$5,2,FALSE)</f>
        <v>Feminino</v>
      </c>
      <c r="E597">
        <v>9</v>
      </c>
      <c r="F597">
        <v>1</v>
      </c>
      <c r="G597">
        <v>2</v>
      </c>
      <c r="H597">
        <v>0</v>
      </c>
      <c r="I597">
        <v>0</v>
      </c>
      <c r="J597">
        <v>2</v>
      </c>
      <c r="K597">
        <v>0</v>
      </c>
      <c r="L597">
        <v>0</v>
      </c>
      <c r="M597">
        <v>0</v>
      </c>
      <c r="N597">
        <v>10</v>
      </c>
    </row>
    <row r="598" spans="1:14" x14ac:dyDescent="0.2">
      <c r="A598">
        <v>597</v>
      </c>
      <c r="B598">
        <v>101</v>
      </c>
      <c r="C598">
        <v>2</v>
      </c>
      <c r="D598" t="str">
        <f>HLOOKUP(Dados!C598,'Variáveis e códigos'!$C$4:$F$5,2,FALSE)</f>
        <v>Feminino</v>
      </c>
      <c r="E598">
        <v>7</v>
      </c>
      <c r="F598">
        <v>1</v>
      </c>
      <c r="G598">
        <v>2</v>
      </c>
      <c r="H598">
        <v>0</v>
      </c>
      <c r="I598">
        <v>0</v>
      </c>
      <c r="J598">
        <v>2</v>
      </c>
      <c r="K598">
        <v>0</v>
      </c>
      <c r="L598">
        <v>0</v>
      </c>
      <c r="M598">
        <v>0</v>
      </c>
      <c r="N598">
        <v>8</v>
      </c>
    </row>
    <row r="599" spans="1:14" x14ac:dyDescent="0.2">
      <c r="A599">
        <v>598</v>
      </c>
      <c r="B599">
        <v>101</v>
      </c>
      <c r="C599">
        <v>1</v>
      </c>
      <c r="D599" t="str">
        <f>HLOOKUP(Dados!C599,'Variáveis e códigos'!$C$4:$F$5,2,FALSE)</f>
        <v>Masculino</v>
      </c>
      <c r="E599">
        <v>7</v>
      </c>
      <c r="F599">
        <v>1</v>
      </c>
      <c r="G599">
        <v>2</v>
      </c>
      <c r="H599">
        <v>2</v>
      </c>
      <c r="I599">
        <v>2</v>
      </c>
      <c r="J599">
        <v>2</v>
      </c>
      <c r="K599">
        <v>2</v>
      </c>
      <c r="L599">
        <v>2</v>
      </c>
      <c r="M599">
        <v>0</v>
      </c>
      <c r="N599">
        <v>10</v>
      </c>
    </row>
    <row r="600" spans="1:14" x14ac:dyDescent="0.2">
      <c r="A600">
        <v>599</v>
      </c>
      <c r="B600">
        <v>101</v>
      </c>
      <c r="C600">
        <v>1</v>
      </c>
      <c r="D600" t="str">
        <f>HLOOKUP(Dados!C600,'Variáveis e códigos'!$C$4:$F$5,2,FALSE)</f>
        <v>Masculino</v>
      </c>
      <c r="E600">
        <v>8</v>
      </c>
      <c r="F600">
        <v>1</v>
      </c>
      <c r="G600">
        <v>99</v>
      </c>
      <c r="H600">
        <v>0</v>
      </c>
      <c r="I600">
        <v>0</v>
      </c>
      <c r="J600">
        <v>2</v>
      </c>
      <c r="K600">
        <v>0</v>
      </c>
      <c r="L600">
        <v>0</v>
      </c>
      <c r="M600">
        <v>0</v>
      </c>
      <c r="N600">
        <v>8</v>
      </c>
    </row>
    <row r="601" spans="1:14" x14ac:dyDescent="0.2">
      <c r="A601">
        <v>600</v>
      </c>
      <c r="B601">
        <v>101</v>
      </c>
      <c r="C601">
        <v>1</v>
      </c>
      <c r="D601" t="str">
        <f>HLOOKUP(Dados!C601,'Variáveis e códigos'!$C$4:$F$5,2,FALSE)</f>
        <v>Masculino</v>
      </c>
      <c r="E601">
        <v>8</v>
      </c>
      <c r="F601">
        <v>1</v>
      </c>
      <c r="G601">
        <v>2</v>
      </c>
      <c r="H601">
        <v>1</v>
      </c>
      <c r="I601">
        <v>2</v>
      </c>
      <c r="J601">
        <v>1</v>
      </c>
      <c r="K601">
        <v>0</v>
      </c>
      <c r="L601">
        <v>0</v>
      </c>
      <c r="M601">
        <v>0</v>
      </c>
      <c r="N601">
        <v>9</v>
      </c>
    </row>
    <row r="602" spans="1:14" x14ac:dyDescent="0.2">
      <c r="A602">
        <v>601</v>
      </c>
      <c r="B602">
        <v>101</v>
      </c>
      <c r="C602">
        <v>1</v>
      </c>
      <c r="D602" t="str">
        <f>HLOOKUP(Dados!C602,'Variáveis e códigos'!$C$4:$F$5,2,FALSE)</f>
        <v>Masculino</v>
      </c>
      <c r="E602">
        <v>6</v>
      </c>
      <c r="F602">
        <v>1</v>
      </c>
      <c r="G602">
        <v>2</v>
      </c>
      <c r="H602">
        <v>1</v>
      </c>
      <c r="I602">
        <v>0</v>
      </c>
      <c r="J602">
        <v>2</v>
      </c>
      <c r="K602">
        <v>1</v>
      </c>
      <c r="L602">
        <v>0</v>
      </c>
      <c r="M602">
        <v>0</v>
      </c>
      <c r="N602">
        <v>8</v>
      </c>
    </row>
    <row r="603" spans="1:14" x14ac:dyDescent="0.2">
      <c r="A603">
        <v>602</v>
      </c>
      <c r="B603">
        <v>101</v>
      </c>
      <c r="C603">
        <v>1</v>
      </c>
      <c r="D603" t="str">
        <f>HLOOKUP(Dados!C603,'Variáveis e códigos'!$C$4:$F$5,2,FALSE)</f>
        <v>Masculino</v>
      </c>
      <c r="E603">
        <v>7</v>
      </c>
      <c r="F603">
        <v>1</v>
      </c>
      <c r="G603">
        <v>2</v>
      </c>
      <c r="H603">
        <v>0</v>
      </c>
      <c r="I603">
        <v>0</v>
      </c>
      <c r="J603">
        <v>1</v>
      </c>
      <c r="K603">
        <v>2</v>
      </c>
      <c r="L603">
        <v>0</v>
      </c>
      <c r="M603">
        <v>1</v>
      </c>
      <c r="N603">
        <v>8</v>
      </c>
    </row>
    <row r="604" spans="1:14" x14ac:dyDescent="0.2">
      <c r="A604">
        <v>603</v>
      </c>
      <c r="B604">
        <v>101</v>
      </c>
      <c r="C604">
        <v>2</v>
      </c>
      <c r="D604" t="str">
        <f>HLOOKUP(Dados!C604,'Variáveis e códigos'!$C$4:$F$5,2,FALSE)</f>
        <v>Feminino</v>
      </c>
      <c r="E604">
        <v>8</v>
      </c>
      <c r="F604">
        <v>1</v>
      </c>
      <c r="G604">
        <v>3</v>
      </c>
      <c r="H604">
        <v>2</v>
      </c>
      <c r="I604">
        <v>0</v>
      </c>
      <c r="J604">
        <v>2</v>
      </c>
      <c r="K604">
        <v>0</v>
      </c>
      <c r="L604">
        <v>0</v>
      </c>
      <c r="M604">
        <v>0</v>
      </c>
      <c r="N604">
        <v>8</v>
      </c>
    </row>
    <row r="605" spans="1:14" x14ac:dyDescent="0.2">
      <c r="A605">
        <v>604</v>
      </c>
      <c r="B605">
        <v>101</v>
      </c>
      <c r="C605">
        <v>2</v>
      </c>
      <c r="D605" t="str">
        <f>HLOOKUP(Dados!C605,'Variáveis e códigos'!$C$4:$F$5,2,FALSE)</f>
        <v>Feminino</v>
      </c>
      <c r="E605">
        <v>9</v>
      </c>
      <c r="F605">
        <v>1</v>
      </c>
      <c r="G605">
        <v>2</v>
      </c>
      <c r="H605">
        <v>0</v>
      </c>
      <c r="I605">
        <v>0</v>
      </c>
      <c r="J605">
        <v>2</v>
      </c>
      <c r="K605">
        <v>0</v>
      </c>
      <c r="L605">
        <v>0</v>
      </c>
      <c r="M605">
        <v>2</v>
      </c>
      <c r="N605">
        <v>9</v>
      </c>
    </row>
    <row r="606" spans="1:14" x14ac:dyDescent="0.2">
      <c r="A606">
        <v>605</v>
      </c>
      <c r="B606">
        <v>101</v>
      </c>
      <c r="C606">
        <v>2</v>
      </c>
      <c r="D606" t="str">
        <f>HLOOKUP(Dados!C606,'Variáveis e códigos'!$C$4:$F$5,2,FALSE)</f>
        <v>Feminino</v>
      </c>
      <c r="E606">
        <v>8</v>
      </c>
      <c r="F606">
        <v>1</v>
      </c>
      <c r="G606">
        <v>1</v>
      </c>
      <c r="H606">
        <v>0</v>
      </c>
      <c r="I606">
        <v>0</v>
      </c>
      <c r="J606">
        <v>2</v>
      </c>
      <c r="K606">
        <v>0</v>
      </c>
      <c r="L606">
        <v>1</v>
      </c>
      <c r="M606">
        <v>1</v>
      </c>
      <c r="N606">
        <v>7</v>
      </c>
    </row>
    <row r="607" spans="1:14" x14ac:dyDescent="0.2">
      <c r="A607">
        <v>606</v>
      </c>
      <c r="B607">
        <v>101</v>
      </c>
      <c r="C607">
        <v>2</v>
      </c>
      <c r="D607" t="str">
        <f>HLOOKUP(Dados!C607,'Variáveis e códigos'!$C$4:$F$5,2,FALSE)</f>
        <v>Feminino</v>
      </c>
      <c r="E607">
        <v>5</v>
      </c>
      <c r="F607">
        <v>0</v>
      </c>
      <c r="G607">
        <v>99</v>
      </c>
      <c r="H607">
        <v>0</v>
      </c>
      <c r="I607">
        <v>0</v>
      </c>
      <c r="J607">
        <v>1</v>
      </c>
      <c r="K607">
        <v>0</v>
      </c>
      <c r="L607">
        <v>0</v>
      </c>
      <c r="M607">
        <v>0</v>
      </c>
      <c r="N607">
        <v>9</v>
      </c>
    </row>
    <row r="608" spans="1:14" x14ac:dyDescent="0.2">
      <c r="A608">
        <v>607</v>
      </c>
      <c r="B608">
        <v>101</v>
      </c>
      <c r="C608">
        <v>2</v>
      </c>
      <c r="D608" t="str">
        <f>HLOOKUP(Dados!C608,'Variáveis e códigos'!$C$4:$F$5,2,FALSE)</f>
        <v>Feminino</v>
      </c>
      <c r="E608">
        <v>9</v>
      </c>
      <c r="F608">
        <v>1</v>
      </c>
      <c r="G608">
        <v>3</v>
      </c>
      <c r="H608">
        <v>0</v>
      </c>
      <c r="I608">
        <v>0</v>
      </c>
      <c r="J608">
        <v>1</v>
      </c>
      <c r="K608">
        <v>0</v>
      </c>
      <c r="L608">
        <v>0</v>
      </c>
      <c r="M608">
        <v>0</v>
      </c>
      <c r="N608">
        <v>9</v>
      </c>
    </row>
    <row r="609" spans="1:14" x14ac:dyDescent="0.2">
      <c r="A609">
        <v>608</v>
      </c>
      <c r="B609">
        <v>101</v>
      </c>
      <c r="C609">
        <v>2</v>
      </c>
      <c r="D609" t="str">
        <f>HLOOKUP(Dados!C609,'Variáveis e códigos'!$C$4:$F$5,2,FALSE)</f>
        <v>Feminino</v>
      </c>
      <c r="E609">
        <v>9</v>
      </c>
      <c r="F609">
        <v>1</v>
      </c>
      <c r="G609">
        <v>2</v>
      </c>
      <c r="H609">
        <v>2</v>
      </c>
      <c r="I609">
        <v>0</v>
      </c>
      <c r="J609">
        <v>2</v>
      </c>
      <c r="K609">
        <v>0</v>
      </c>
      <c r="L609">
        <v>0</v>
      </c>
      <c r="M609">
        <v>0</v>
      </c>
      <c r="N609">
        <v>8</v>
      </c>
    </row>
    <row r="610" spans="1:14" x14ac:dyDescent="0.2">
      <c r="A610">
        <v>609</v>
      </c>
      <c r="B610">
        <v>101</v>
      </c>
      <c r="C610">
        <v>2</v>
      </c>
      <c r="D610" t="str">
        <f>HLOOKUP(Dados!C610,'Variáveis e códigos'!$C$4:$F$5,2,FALSE)</f>
        <v>Feminino</v>
      </c>
      <c r="E610">
        <v>8</v>
      </c>
      <c r="F610">
        <v>1</v>
      </c>
      <c r="G610">
        <v>2</v>
      </c>
      <c r="H610">
        <v>0</v>
      </c>
      <c r="I610">
        <v>0</v>
      </c>
      <c r="J610">
        <v>2</v>
      </c>
      <c r="K610">
        <v>0</v>
      </c>
      <c r="L610">
        <v>0</v>
      </c>
      <c r="M610">
        <v>0</v>
      </c>
      <c r="N610">
        <v>8</v>
      </c>
    </row>
    <row r="611" spans="1:14" x14ac:dyDescent="0.2">
      <c r="A611">
        <v>610</v>
      </c>
      <c r="B611">
        <v>101</v>
      </c>
      <c r="C611">
        <v>1</v>
      </c>
      <c r="D611" t="str">
        <f>HLOOKUP(Dados!C611,'Variáveis e códigos'!$C$4:$F$5,2,FALSE)</f>
        <v>Masculino</v>
      </c>
      <c r="E611">
        <v>9</v>
      </c>
      <c r="F611">
        <v>1</v>
      </c>
      <c r="G611">
        <v>2</v>
      </c>
      <c r="H611">
        <v>2</v>
      </c>
      <c r="I611">
        <v>2</v>
      </c>
      <c r="J611">
        <v>1</v>
      </c>
      <c r="K611">
        <v>1</v>
      </c>
      <c r="L611">
        <v>2</v>
      </c>
      <c r="M611">
        <v>2</v>
      </c>
      <c r="N611">
        <v>9</v>
      </c>
    </row>
    <row r="612" spans="1:14" x14ac:dyDescent="0.2">
      <c r="A612">
        <v>611</v>
      </c>
      <c r="B612">
        <v>101</v>
      </c>
      <c r="C612">
        <v>2</v>
      </c>
      <c r="D612" t="str">
        <f>HLOOKUP(Dados!C612,'Variáveis e códigos'!$C$4:$F$5,2,FALSE)</f>
        <v>Feminino</v>
      </c>
      <c r="E612">
        <v>6</v>
      </c>
      <c r="F612">
        <v>1</v>
      </c>
      <c r="G612">
        <v>1</v>
      </c>
      <c r="H612">
        <v>0</v>
      </c>
      <c r="I612">
        <v>0</v>
      </c>
      <c r="J612">
        <v>2</v>
      </c>
      <c r="K612">
        <v>0</v>
      </c>
      <c r="L612">
        <v>0</v>
      </c>
      <c r="M612">
        <v>1</v>
      </c>
      <c r="N612">
        <v>8</v>
      </c>
    </row>
    <row r="613" spans="1:14" x14ac:dyDescent="0.2">
      <c r="A613">
        <v>612</v>
      </c>
      <c r="B613">
        <v>101</v>
      </c>
      <c r="C613">
        <v>2</v>
      </c>
      <c r="D613" t="str">
        <f>HLOOKUP(Dados!C613,'Variáveis e códigos'!$C$4:$F$5,2,FALSE)</f>
        <v>Feminino</v>
      </c>
      <c r="E613">
        <v>7</v>
      </c>
      <c r="F613">
        <v>1</v>
      </c>
      <c r="G613">
        <v>1</v>
      </c>
      <c r="H613">
        <v>1</v>
      </c>
      <c r="I613">
        <v>0</v>
      </c>
      <c r="J613">
        <v>0</v>
      </c>
      <c r="K613">
        <v>0</v>
      </c>
      <c r="L613">
        <v>0</v>
      </c>
      <c r="M613">
        <v>1</v>
      </c>
      <c r="N613">
        <v>7</v>
      </c>
    </row>
    <row r="614" spans="1:14" x14ac:dyDescent="0.2">
      <c r="A614">
        <v>613</v>
      </c>
      <c r="B614">
        <v>101</v>
      </c>
      <c r="C614">
        <v>2</v>
      </c>
      <c r="D614" t="str">
        <f>HLOOKUP(Dados!C614,'Variáveis e códigos'!$C$4:$F$5,2,FALSE)</f>
        <v>Feminino</v>
      </c>
      <c r="E614">
        <v>9</v>
      </c>
      <c r="F614">
        <v>1</v>
      </c>
      <c r="G614">
        <v>1</v>
      </c>
      <c r="H614">
        <v>0</v>
      </c>
      <c r="I614">
        <v>0</v>
      </c>
      <c r="J614">
        <v>2</v>
      </c>
      <c r="K614">
        <v>0</v>
      </c>
      <c r="L614">
        <v>1</v>
      </c>
      <c r="M614">
        <v>0</v>
      </c>
      <c r="N614">
        <v>99</v>
      </c>
    </row>
    <row r="615" spans="1:14" x14ac:dyDescent="0.2">
      <c r="A615">
        <v>614</v>
      </c>
      <c r="B615">
        <v>101</v>
      </c>
      <c r="C615">
        <v>1</v>
      </c>
      <c r="D615" t="str">
        <f>HLOOKUP(Dados!C615,'Variáveis e códigos'!$C$4:$F$5,2,FALSE)</f>
        <v>Masculino</v>
      </c>
      <c r="E615">
        <v>10</v>
      </c>
      <c r="F615">
        <v>1</v>
      </c>
      <c r="G615">
        <v>1</v>
      </c>
      <c r="H615">
        <v>1</v>
      </c>
      <c r="I615">
        <v>0</v>
      </c>
      <c r="J615">
        <v>2</v>
      </c>
      <c r="K615">
        <v>0</v>
      </c>
      <c r="L615">
        <v>0</v>
      </c>
      <c r="M615">
        <v>1</v>
      </c>
      <c r="N615">
        <v>7</v>
      </c>
    </row>
    <row r="616" spans="1:14" x14ac:dyDescent="0.2">
      <c r="A616">
        <v>615</v>
      </c>
      <c r="B616">
        <v>101</v>
      </c>
      <c r="C616">
        <v>1</v>
      </c>
      <c r="D616" t="str">
        <f>HLOOKUP(Dados!C616,'Variáveis e códigos'!$C$4:$F$5,2,FALSE)</f>
        <v>Masculino</v>
      </c>
      <c r="E616">
        <v>9</v>
      </c>
      <c r="F616">
        <v>1</v>
      </c>
      <c r="G616">
        <v>2</v>
      </c>
      <c r="H616">
        <v>1</v>
      </c>
      <c r="I616">
        <v>0</v>
      </c>
      <c r="J616">
        <v>1</v>
      </c>
      <c r="K616">
        <v>0</v>
      </c>
      <c r="L616">
        <v>0</v>
      </c>
      <c r="M616">
        <v>0</v>
      </c>
      <c r="N616">
        <v>9</v>
      </c>
    </row>
    <row r="617" spans="1:14" x14ac:dyDescent="0.2">
      <c r="A617">
        <v>616</v>
      </c>
      <c r="B617">
        <v>101</v>
      </c>
      <c r="C617">
        <v>2</v>
      </c>
      <c r="D617" t="str">
        <f>HLOOKUP(Dados!C617,'Variáveis e códigos'!$C$4:$F$5,2,FALSE)</f>
        <v>Feminino</v>
      </c>
      <c r="E617">
        <v>7</v>
      </c>
      <c r="F617">
        <v>1</v>
      </c>
      <c r="G617">
        <v>2</v>
      </c>
      <c r="H617">
        <v>1</v>
      </c>
      <c r="I617">
        <v>0</v>
      </c>
      <c r="J617">
        <v>2</v>
      </c>
      <c r="K617">
        <v>0</v>
      </c>
      <c r="L617">
        <v>0</v>
      </c>
      <c r="M617">
        <v>0</v>
      </c>
      <c r="N617">
        <v>10</v>
      </c>
    </row>
    <row r="618" spans="1:14" x14ac:dyDescent="0.2">
      <c r="A618">
        <v>617</v>
      </c>
      <c r="B618">
        <v>101</v>
      </c>
      <c r="C618">
        <v>1</v>
      </c>
      <c r="D618" t="str">
        <f>HLOOKUP(Dados!C618,'Variáveis e códigos'!$C$4:$F$5,2,FALSE)</f>
        <v>Masculino</v>
      </c>
      <c r="E618">
        <v>9</v>
      </c>
      <c r="F618">
        <v>1</v>
      </c>
      <c r="G618">
        <v>1</v>
      </c>
      <c r="H618">
        <v>1</v>
      </c>
      <c r="I618">
        <v>1</v>
      </c>
      <c r="J618">
        <v>1</v>
      </c>
      <c r="K618">
        <v>2</v>
      </c>
      <c r="L618">
        <v>1</v>
      </c>
      <c r="M618">
        <v>0</v>
      </c>
      <c r="N618">
        <v>8</v>
      </c>
    </row>
    <row r="619" spans="1:14" x14ac:dyDescent="0.2">
      <c r="A619">
        <v>618</v>
      </c>
      <c r="B619">
        <v>101</v>
      </c>
      <c r="C619">
        <v>1</v>
      </c>
      <c r="D619" t="str">
        <f>HLOOKUP(Dados!C619,'Variáveis e códigos'!$C$4:$F$5,2,FALSE)</f>
        <v>Masculino</v>
      </c>
      <c r="E619">
        <v>5</v>
      </c>
      <c r="F619">
        <v>1</v>
      </c>
      <c r="G619">
        <v>2</v>
      </c>
      <c r="H619">
        <v>2</v>
      </c>
      <c r="I619">
        <v>0</v>
      </c>
      <c r="J619">
        <v>2</v>
      </c>
      <c r="K619">
        <v>0</v>
      </c>
      <c r="L619">
        <v>0</v>
      </c>
      <c r="M619">
        <v>1</v>
      </c>
      <c r="N619">
        <v>9</v>
      </c>
    </row>
    <row r="620" spans="1:14" x14ac:dyDescent="0.2">
      <c r="A620">
        <v>619</v>
      </c>
      <c r="B620">
        <v>101</v>
      </c>
      <c r="C620">
        <v>1</v>
      </c>
      <c r="D620" t="str">
        <f>HLOOKUP(Dados!C620,'Variáveis e códigos'!$C$4:$F$5,2,FALSE)</f>
        <v>Masculino</v>
      </c>
      <c r="E620">
        <v>6</v>
      </c>
      <c r="F620">
        <v>1</v>
      </c>
      <c r="G620">
        <v>99</v>
      </c>
      <c r="H620">
        <v>2</v>
      </c>
      <c r="I620">
        <v>2</v>
      </c>
      <c r="J620">
        <v>0</v>
      </c>
      <c r="K620">
        <v>2</v>
      </c>
      <c r="L620">
        <v>0</v>
      </c>
      <c r="M620">
        <v>0</v>
      </c>
      <c r="N620">
        <v>9</v>
      </c>
    </row>
    <row r="621" spans="1:14" x14ac:dyDescent="0.2">
      <c r="A621">
        <v>620</v>
      </c>
      <c r="B621">
        <v>101</v>
      </c>
      <c r="C621">
        <v>1</v>
      </c>
      <c r="D621" t="str">
        <f>HLOOKUP(Dados!C621,'Variáveis e códigos'!$C$4:$F$5,2,FALSE)</f>
        <v>Masculino</v>
      </c>
      <c r="E621">
        <v>5</v>
      </c>
      <c r="F621">
        <v>1</v>
      </c>
      <c r="G621">
        <v>2</v>
      </c>
      <c r="H621">
        <v>2</v>
      </c>
      <c r="I621">
        <v>2</v>
      </c>
      <c r="J621">
        <v>1</v>
      </c>
      <c r="K621">
        <v>1</v>
      </c>
      <c r="L621">
        <v>0</v>
      </c>
      <c r="M621">
        <v>0</v>
      </c>
      <c r="N621">
        <v>10</v>
      </c>
    </row>
    <row r="622" spans="1:14" x14ac:dyDescent="0.2">
      <c r="A622">
        <v>621</v>
      </c>
      <c r="B622">
        <v>101</v>
      </c>
      <c r="C622">
        <v>1</v>
      </c>
      <c r="D622" t="str">
        <f>HLOOKUP(Dados!C622,'Variáveis e códigos'!$C$4:$F$5,2,FALSE)</f>
        <v>Masculino</v>
      </c>
      <c r="E622">
        <v>6</v>
      </c>
      <c r="F622">
        <v>1</v>
      </c>
      <c r="G622">
        <v>1</v>
      </c>
      <c r="H622">
        <v>2</v>
      </c>
      <c r="I622">
        <v>2</v>
      </c>
      <c r="J622">
        <v>1</v>
      </c>
      <c r="K622">
        <v>2</v>
      </c>
      <c r="L622">
        <v>1</v>
      </c>
      <c r="M622">
        <v>99</v>
      </c>
      <c r="N622">
        <v>8</v>
      </c>
    </row>
    <row r="623" spans="1:14" x14ac:dyDescent="0.2">
      <c r="A623">
        <v>622</v>
      </c>
      <c r="B623">
        <v>101</v>
      </c>
      <c r="C623">
        <v>2</v>
      </c>
      <c r="D623" t="str">
        <f>HLOOKUP(Dados!C623,'Variáveis e códigos'!$C$4:$F$5,2,FALSE)</f>
        <v>Feminino</v>
      </c>
      <c r="E623">
        <v>6</v>
      </c>
      <c r="F623">
        <v>1</v>
      </c>
      <c r="G623">
        <v>3</v>
      </c>
      <c r="H623">
        <v>1</v>
      </c>
      <c r="I623">
        <v>1</v>
      </c>
      <c r="J623">
        <v>2</v>
      </c>
      <c r="K623">
        <v>0</v>
      </c>
      <c r="L623">
        <v>1</v>
      </c>
      <c r="M623">
        <v>1</v>
      </c>
      <c r="N623">
        <v>9</v>
      </c>
    </row>
    <row r="624" spans="1:14" x14ac:dyDescent="0.2">
      <c r="A624">
        <v>623</v>
      </c>
      <c r="B624">
        <v>101</v>
      </c>
      <c r="C624">
        <v>2</v>
      </c>
      <c r="D624" t="str">
        <f>HLOOKUP(Dados!C624,'Variáveis e códigos'!$C$4:$F$5,2,FALSE)</f>
        <v>Feminino</v>
      </c>
      <c r="E624">
        <v>8</v>
      </c>
      <c r="F624">
        <v>1</v>
      </c>
      <c r="G624">
        <v>3</v>
      </c>
      <c r="H624">
        <v>0</v>
      </c>
      <c r="I624">
        <v>0</v>
      </c>
      <c r="J624">
        <v>2</v>
      </c>
      <c r="K624">
        <v>0</v>
      </c>
      <c r="L624">
        <v>0</v>
      </c>
      <c r="M624">
        <v>0</v>
      </c>
      <c r="N624">
        <v>10</v>
      </c>
    </row>
    <row r="625" spans="1:14" x14ac:dyDescent="0.2">
      <c r="A625">
        <v>624</v>
      </c>
      <c r="B625">
        <v>101</v>
      </c>
      <c r="C625">
        <v>1</v>
      </c>
      <c r="D625" t="str">
        <f>HLOOKUP(Dados!C625,'Variáveis e códigos'!$C$4:$F$5,2,FALSE)</f>
        <v>Masculino</v>
      </c>
      <c r="E625">
        <v>7</v>
      </c>
      <c r="F625">
        <v>1</v>
      </c>
      <c r="G625">
        <v>2</v>
      </c>
      <c r="H625">
        <v>2</v>
      </c>
      <c r="I625">
        <v>0</v>
      </c>
      <c r="J625">
        <v>2</v>
      </c>
      <c r="K625">
        <v>0</v>
      </c>
      <c r="L625">
        <v>0</v>
      </c>
      <c r="M625">
        <v>1</v>
      </c>
      <c r="N625">
        <v>12</v>
      </c>
    </row>
    <row r="626" spans="1:14" x14ac:dyDescent="0.2">
      <c r="A626">
        <v>625</v>
      </c>
      <c r="B626">
        <v>101</v>
      </c>
      <c r="C626">
        <v>1</v>
      </c>
      <c r="D626" t="str">
        <f>HLOOKUP(Dados!C626,'Variáveis e códigos'!$C$4:$F$5,2,FALSE)</f>
        <v>Masculino</v>
      </c>
      <c r="E626">
        <v>9</v>
      </c>
      <c r="F626">
        <v>1</v>
      </c>
      <c r="G626">
        <v>2</v>
      </c>
      <c r="H626">
        <v>0</v>
      </c>
      <c r="I626">
        <v>0</v>
      </c>
      <c r="J626">
        <v>2</v>
      </c>
      <c r="K626">
        <v>0</v>
      </c>
      <c r="L626">
        <v>0</v>
      </c>
      <c r="M626">
        <v>0</v>
      </c>
      <c r="N626">
        <v>10</v>
      </c>
    </row>
    <row r="627" spans="1:14" x14ac:dyDescent="0.2">
      <c r="A627">
        <v>626</v>
      </c>
      <c r="B627">
        <v>101</v>
      </c>
      <c r="C627">
        <v>1</v>
      </c>
      <c r="D627" t="str">
        <f>HLOOKUP(Dados!C627,'Variáveis e códigos'!$C$4:$F$5,2,FALSE)</f>
        <v>Masculino</v>
      </c>
      <c r="E627">
        <v>7</v>
      </c>
      <c r="F627">
        <v>1</v>
      </c>
      <c r="G627">
        <v>2</v>
      </c>
      <c r="H627">
        <v>2</v>
      </c>
      <c r="I627">
        <v>0</v>
      </c>
      <c r="J627">
        <v>2</v>
      </c>
      <c r="K627">
        <v>0</v>
      </c>
      <c r="L627">
        <v>0</v>
      </c>
      <c r="M627">
        <v>0</v>
      </c>
      <c r="N627">
        <v>8</v>
      </c>
    </row>
    <row r="628" spans="1:14" x14ac:dyDescent="0.2">
      <c r="A628">
        <v>627</v>
      </c>
      <c r="B628">
        <v>101</v>
      </c>
      <c r="C628">
        <v>1</v>
      </c>
      <c r="D628" t="str">
        <f>HLOOKUP(Dados!C628,'Variáveis e códigos'!$C$4:$F$5,2,FALSE)</f>
        <v>Masculino</v>
      </c>
      <c r="E628">
        <v>6</v>
      </c>
      <c r="F628">
        <v>1</v>
      </c>
      <c r="G628">
        <v>1</v>
      </c>
      <c r="H628">
        <v>1</v>
      </c>
      <c r="I628">
        <v>1</v>
      </c>
      <c r="J628">
        <v>2</v>
      </c>
      <c r="K628">
        <v>1</v>
      </c>
      <c r="L628">
        <v>0</v>
      </c>
      <c r="M628">
        <v>0</v>
      </c>
      <c r="N628">
        <v>8</v>
      </c>
    </row>
    <row r="629" spans="1:14" x14ac:dyDescent="0.2">
      <c r="A629">
        <v>628</v>
      </c>
      <c r="B629">
        <v>101</v>
      </c>
      <c r="C629">
        <v>1</v>
      </c>
      <c r="D629" t="str">
        <f>HLOOKUP(Dados!C629,'Variáveis e códigos'!$C$4:$F$5,2,FALSE)</f>
        <v>Masculino</v>
      </c>
      <c r="E629">
        <v>9</v>
      </c>
      <c r="F629">
        <v>1</v>
      </c>
      <c r="G629">
        <v>2</v>
      </c>
      <c r="H629">
        <v>0</v>
      </c>
      <c r="I629">
        <v>0</v>
      </c>
      <c r="J629">
        <v>2</v>
      </c>
      <c r="K629">
        <v>0</v>
      </c>
      <c r="L629">
        <v>0</v>
      </c>
      <c r="M629">
        <v>0</v>
      </c>
      <c r="N629">
        <v>9</v>
      </c>
    </row>
    <row r="630" spans="1:14" x14ac:dyDescent="0.2">
      <c r="A630">
        <v>629</v>
      </c>
      <c r="B630">
        <v>101</v>
      </c>
      <c r="C630">
        <v>1</v>
      </c>
      <c r="D630" t="str">
        <f>HLOOKUP(Dados!C630,'Variáveis e códigos'!$C$4:$F$5,2,FALSE)</f>
        <v>Masculino</v>
      </c>
      <c r="E630">
        <v>9</v>
      </c>
      <c r="F630">
        <v>1</v>
      </c>
      <c r="G630">
        <v>3</v>
      </c>
      <c r="H630">
        <v>1</v>
      </c>
      <c r="I630">
        <v>0</v>
      </c>
      <c r="J630">
        <v>2</v>
      </c>
      <c r="K630">
        <v>0</v>
      </c>
      <c r="L630">
        <v>1</v>
      </c>
      <c r="M630">
        <v>1</v>
      </c>
      <c r="N630">
        <v>9</v>
      </c>
    </row>
    <row r="631" spans="1:14" x14ac:dyDescent="0.2">
      <c r="A631">
        <v>630</v>
      </c>
      <c r="B631">
        <v>101</v>
      </c>
      <c r="C631">
        <v>1</v>
      </c>
      <c r="D631" t="str">
        <f>HLOOKUP(Dados!C631,'Variáveis e códigos'!$C$4:$F$5,2,FALSE)</f>
        <v>Masculino</v>
      </c>
      <c r="E631">
        <v>9</v>
      </c>
      <c r="F631">
        <v>1</v>
      </c>
      <c r="G631">
        <v>99</v>
      </c>
      <c r="H631">
        <v>1</v>
      </c>
      <c r="I631">
        <v>2</v>
      </c>
      <c r="J631">
        <v>1</v>
      </c>
      <c r="K631">
        <v>1</v>
      </c>
      <c r="L631">
        <v>1</v>
      </c>
      <c r="M631">
        <v>2</v>
      </c>
      <c r="N631">
        <v>8</v>
      </c>
    </row>
    <row r="632" spans="1:14" x14ac:dyDescent="0.2">
      <c r="A632">
        <v>631</v>
      </c>
      <c r="B632">
        <v>101</v>
      </c>
      <c r="C632">
        <v>2</v>
      </c>
      <c r="D632" t="str">
        <f>HLOOKUP(Dados!C632,'Variáveis e códigos'!$C$4:$F$5,2,FALSE)</f>
        <v>Feminino</v>
      </c>
      <c r="E632">
        <v>8</v>
      </c>
      <c r="F632">
        <v>1</v>
      </c>
      <c r="G632">
        <v>3</v>
      </c>
      <c r="H632">
        <v>0</v>
      </c>
      <c r="I632">
        <v>0</v>
      </c>
      <c r="J632">
        <v>1</v>
      </c>
      <c r="K632">
        <v>1</v>
      </c>
      <c r="L632">
        <v>0</v>
      </c>
      <c r="M632">
        <v>1</v>
      </c>
      <c r="N632">
        <v>8</v>
      </c>
    </row>
    <row r="633" spans="1:14" x14ac:dyDescent="0.2">
      <c r="A633">
        <v>632</v>
      </c>
      <c r="B633">
        <v>101</v>
      </c>
      <c r="C633">
        <v>1</v>
      </c>
      <c r="D633" t="str">
        <f>HLOOKUP(Dados!C633,'Variáveis e códigos'!$C$4:$F$5,2,FALSE)</f>
        <v>Masculino</v>
      </c>
      <c r="E633">
        <v>7</v>
      </c>
      <c r="F633">
        <v>1</v>
      </c>
      <c r="G633">
        <v>2</v>
      </c>
      <c r="H633">
        <v>0</v>
      </c>
      <c r="I633">
        <v>0</v>
      </c>
      <c r="J633">
        <v>2</v>
      </c>
      <c r="K633">
        <v>0</v>
      </c>
      <c r="L633">
        <v>1</v>
      </c>
      <c r="M633">
        <v>0</v>
      </c>
      <c r="N633">
        <v>8</v>
      </c>
    </row>
    <row r="634" spans="1:14" x14ac:dyDescent="0.2">
      <c r="A634">
        <v>633</v>
      </c>
      <c r="B634">
        <v>101</v>
      </c>
      <c r="C634">
        <v>2</v>
      </c>
      <c r="D634" t="str">
        <f>HLOOKUP(Dados!C634,'Variáveis e códigos'!$C$4:$F$5,2,FALSE)</f>
        <v>Feminino</v>
      </c>
      <c r="E634">
        <v>8</v>
      </c>
      <c r="F634">
        <v>1</v>
      </c>
      <c r="G634">
        <v>2</v>
      </c>
      <c r="H634">
        <v>0</v>
      </c>
      <c r="I634">
        <v>0</v>
      </c>
      <c r="J634">
        <v>2</v>
      </c>
      <c r="K634">
        <v>0</v>
      </c>
      <c r="L634">
        <v>0</v>
      </c>
      <c r="M634">
        <v>0</v>
      </c>
      <c r="N634">
        <v>8</v>
      </c>
    </row>
    <row r="635" spans="1:14" x14ac:dyDescent="0.2">
      <c r="A635">
        <v>634</v>
      </c>
      <c r="B635">
        <v>101</v>
      </c>
      <c r="C635">
        <v>2</v>
      </c>
      <c r="D635" t="str">
        <f>HLOOKUP(Dados!C635,'Variáveis e códigos'!$C$4:$F$5,2,FALSE)</f>
        <v>Feminino</v>
      </c>
      <c r="E635">
        <v>8</v>
      </c>
      <c r="F635">
        <v>1</v>
      </c>
      <c r="G635">
        <v>99</v>
      </c>
      <c r="H635">
        <v>0</v>
      </c>
      <c r="I635">
        <v>1</v>
      </c>
      <c r="J635">
        <v>2</v>
      </c>
      <c r="K635">
        <v>0</v>
      </c>
      <c r="L635">
        <v>1</v>
      </c>
      <c r="M635">
        <v>1</v>
      </c>
      <c r="N635">
        <v>8</v>
      </c>
    </row>
    <row r="636" spans="1:14" x14ac:dyDescent="0.2">
      <c r="A636">
        <v>635</v>
      </c>
      <c r="B636">
        <v>101</v>
      </c>
      <c r="C636">
        <v>1</v>
      </c>
      <c r="D636" t="str">
        <f>HLOOKUP(Dados!C636,'Variáveis e códigos'!$C$4:$F$5,2,FALSE)</f>
        <v>Masculino</v>
      </c>
      <c r="E636">
        <v>9</v>
      </c>
      <c r="F636">
        <v>1</v>
      </c>
      <c r="G636">
        <v>3</v>
      </c>
      <c r="H636">
        <v>0</v>
      </c>
      <c r="I636">
        <v>0</v>
      </c>
      <c r="J636">
        <v>2</v>
      </c>
      <c r="K636">
        <v>0</v>
      </c>
      <c r="L636">
        <v>0</v>
      </c>
      <c r="M636">
        <v>0</v>
      </c>
      <c r="N636">
        <v>8</v>
      </c>
    </row>
    <row r="637" spans="1:14" x14ac:dyDescent="0.2">
      <c r="A637">
        <v>636</v>
      </c>
      <c r="B637">
        <v>101</v>
      </c>
      <c r="C637">
        <v>2</v>
      </c>
      <c r="D637" t="str">
        <f>HLOOKUP(Dados!C637,'Variáveis e códigos'!$C$4:$F$5,2,FALSE)</f>
        <v>Feminino</v>
      </c>
      <c r="E637">
        <v>7</v>
      </c>
      <c r="F637">
        <v>1</v>
      </c>
      <c r="G637">
        <v>2</v>
      </c>
      <c r="H637">
        <v>0</v>
      </c>
      <c r="I637">
        <v>0</v>
      </c>
      <c r="J637">
        <v>2</v>
      </c>
      <c r="K637">
        <v>0</v>
      </c>
      <c r="L637">
        <v>1</v>
      </c>
      <c r="M637">
        <v>2</v>
      </c>
      <c r="N637">
        <v>9</v>
      </c>
    </row>
    <row r="638" spans="1:14" x14ac:dyDescent="0.2">
      <c r="A638">
        <v>637</v>
      </c>
      <c r="B638">
        <v>101</v>
      </c>
      <c r="C638">
        <v>2</v>
      </c>
      <c r="D638" t="str">
        <f>HLOOKUP(Dados!C638,'Variáveis e códigos'!$C$4:$F$5,2,FALSE)</f>
        <v>Feminino</v>
      </c>
      <c r="E638">
        <v>8</v>
      </c>
      <c r="F638">
        <v>1</v>
      </c>
      <c r="G638">
        <v>3</v>
      </c>
      <c r="H638">
        <v>0</v>
      </c>
      <c r="I638">
        <v>0</v>
      </c>
      <c r="J638">
        <v>2</v>
      </c>
      <c r="K638">
        <v>0</v>
      </c>
      <c r="L638">
        <v>0</v>
      </c>
      <c r="M638">
        <v>0</v>
      </c>
      <c r="N638">
        <v>9</v>
      </c>
    </row>
    <row r="639" spans="1:14" x14ac:dyDescent="0.2">
      <c r="A639">
        <v>638</v>
      </c>
      <c r="B639">
        <v>101</v>
      </c>
      <c r="C639">
        <v>2</v>
      </c>
      <c r="D639" t="str">
        <f>HLOOKUP(Dados!C639,'Variáveis e códigos'!$C$4:$F$5,2,FALSE)</f>
        <v>Feminino</v>
      </c>
      <c r="E639">
        <v>9</v>
      </c>
      <c r="F639">
        <v>1</v>
      </c>
      <c r="G639">
        <v>1</v>
      </c>
      <c r="H639">
        <v>0</v>
      </c>
      <c r="I639">
        <v>0</v>
      </c>
      <c r="J639">
        <v>2</v>
      </c>
      <c r="K639">
        <v>0</v>
      </c>
      <c r="L639">
        <v>0</v>
      </c>
      <c r="M639">
        <v>0</v>
      </c>
      <c r="N639">
        <v>8</v>
      </c>
    </row>
    <row r="640" spans="1:14" x14ac:dyDescent="0.2">
      <c r="A640">
        <v>639</v>
      </c>
      <c r="B640">
        <v>101</v>
      </c>
      <c r="C640">
        <v>2</v>
      </c>
      <c r="D640" t="str">
        <f>HLOOKUP(Dados!C640,'Variáveis e códigos'!$C$4:$F$5,2,FALSE)</f>
        <v>Feminino</v>
      </c>
      <c r="E640">
        <v>9</v>
      </c>
      <c r="F640">
        <v>1</v>
      </c>
      <c r="G640">
        <v>2</v>
      </c>
      <c r="H640">
        <v>0</v>
      </c>
      <c r="I640">
        <v>0</v>
      </c>
      <c r="J640">
        <v>2</v>
      </c>
      <c r="K640">
        <v>0</v>
      </c>
      <c r="L640">
        <v>0</v>
      </c>
      <c r="M640">
        <v>0</v>
      </c>
      <c r="N640">
        <v>8</v>
      </c>
    </row>
    <row r="641" spans="1:14" x14ac:dyDescent="0.2">
      <c r="A641">
        <v>640</v>
      </c>
      <c r="B641">
        <v>101</v>
      </c>
      <c r="C641">
        <v>2</v>
      </c>
      <c r="D641" t="str">
        <f>HLOOKUP(Dados!C641,'Variáveis e códigos'!$C$4:$F$5,2,FALSE)</f>
        <v>Feminino</v>
      </c>
      <c r="E641">
        <v>8</v>
      </c>
      <c r="F641">
        <v>1</v>
      </c>
      <c r="G641">
        <v>2</v>
      </c>
      <c r="H641">
        <v>0</v>
      </c>
      <c r="I641">
        <v>1</v>
      </c>
      <c r="J641">
        <v>0</v>
      </c>
      <c r="K641">
        <v>0</v>
      </c>
      <c r="L641">
        <v>0</v>
      </c>
      <c r="M641">
        <v>1</v>
      </c>
      <c r="N641">
        <v>8</v>
      </c>
    </row>
    <row r="642" spans="1:14" x14ac:dyDescent="0.2">
      <c r="A642">
        <v>641</v>
      </c>
      <c r="B642">
        <v>101</v>
      </c>
      <c r="C642">
        <v>2</v>
      </c>
      <c r="D642" t="str">
        <f>HLOOKUP(Dados!C642,'Variáveis e códigos'!$C$4:$F$5,2,FALSE)</f>
        <v>Feminino</v>
      </c>
      <c r="E642">
        <v>9</v>
      </c>
      <c r="F642">
        <v>1</v>
      </c>
      <c r="G642">
        <v>2</v>
      </c>
      <c r="H642">
        <v>0</v>
      </c>
      <c r="I642">
        <v>0</v>
      </c>
      <c r="J642">
        <v>2</v>
      </c>
      <c r="K642">
        <v>0</v>
      </c>
      <c r="L642">
        <v>0</v>
      </c>
      <c r="M642">
        <v>0</v>
      </c>
      <c r="N642">
        <v>8</v>
      </c>
    </row>
    <row r="643" spans="1:14" x14ac:dyDescent="0.2">
      <c r="A643">
        <v>642</v>
      </c>
      <c r="B643">
        <v>101</v>
      </c>
      <c r="C643">
        <v>1</v>
      </c>
      <c r="D643" t="str">
        <f>HLOOKUP(Dados!C643,'Variáveis e códigos'!$C$4:$F$5,2,FALSE)</f>
        <v>Masculino</v>
      </c>
      <c r="E643">
        <v>6</v>
      </c>
      <c r="F643">
        <v>1</v>
      </c>
      <c r="G643">
        <v>1</v>
      </c>
      <c r="H643">
        <v>0</v>
      </c>
      <c r="I643">
        <v>0</v>
      </c>
      <c r="J643">
        <v>2</v>
      </c>
      <c r="K643">
        <v>0</v>
      </c>
      <c r="L643">
        <v>0</v>
      </c>
      <c r="M643">
        <v>0</v>
      </c>
      <c r="N643">
        <v>10</v>
      </c>
    </row>
    <row r="644" spans="1:14" x14ac:dyDescent="0.2">
      <c r="A644">
        <v>643</v>
      </c>
      <c r="B644">
        <v>101</v>
      </c>
      <c r="C644">
        <v>2</v>
      </c>
      <c r="D644" t="str">
        <f>HLOOKUP(Dados!C644,'Variáveis e códigos'!$C$4:$F$5,2,FALSE)</f>
        <v>Feminino</v>
      </c>
      <c r="E644">
        <v>8</v>
      </c>
      <c r="F644">
        <v>1</v>
      </c>
      <c r="G644">
        <v>1</v>
      </c>
      <c r="H644">
        <v>0</v>
      </c>
      <c r="I644">
        <v>0</v>
      </c>
      <c r="J644">
        <v>2</v>
      </c>
      <c r="K644">
        <v>0</v>
      </c>
      <c r="L644">
        <v>0</v>
      </c>
      <c r="M644">
        <v>0</v>
      </c>
      <c r="N644">
        <v>9</v>
      </c>
    </row>
    <row r="645" spans="1:14" x14ac:dyDescent="0.2">
      <c r="A645">
        <v>644</v>
      </c>
      <c r="B645">
        <v>101</v>
      </c>
      <c r="C645">
        <v>2</v>
      </c>
      <c r="D645" t="str">
        <f>HLOOKUP(Dados!C645,'Variáveis e códigos'!$C$4:$F$5,2,FALSE)</f>
        <v>Feminino</v>
      </c>
      <c r="E645">
        <v>8</v>
      </c>
      <c r="F645">
        <v>1</v>
      </c>
      <c r="G645">
        <v>1</v>
      </c>
      <c r="H645">
        <v>0</v>
      </c>
      <c r="I645">
        <v>0</v>
      </c>
      <c r="J645">
        <v>2</v>
      </c>
      <c r="K645">
        <v>0</v>
      </c>
      <c r="L645">
        <v>0</v>
      </c>
      <c r="M645">
        <v>0</v>
      </c>
      <c r="N645">
        <v>10</v>
      </c>
    </row>
    <row r="646" spans="1:14" x14ac:dyDescent="0.2">
      <c r="A646">
        <v>645</v>
      </c>
      <c r="B646">
        <v>101</v>
      </c>
      <c r="C646">
        <v>2</v>
      </c>
      <c r="D646" t="str">
        <f>HLOOKUP(Dados!C646,'Variáveis e códigos'!$C$4:$F$5,2,FALSE)</f>
        <v>Feminino</v>
      </c>
      <c r="E646">
        <v>9</v>
      </c>
      <c r="F646">
        <v>1</v>
      </c>
      <c r="G646">
        <v>1</v>
      </c>
      <c r="H646">
        <v>0</v>
      </c>
      <c r="I646">
        <v>0</v>
      </c>
      <c r="J646">
        <v>2</v>
      </c>
      <c r="K646">
        <v>0</v>
      </c>
      <c r="L646">
        <v>0</v>
      </c>
      <c r="M646">
        <v>0</v>
      </c>
      <c r="N646">
        <v>10</v>
      </c>
    </row>
    <row r="647" spans="1:14" x14ac:dyDescent="0.2">
      <c r="A647">
        <v>646</v>
      </c>
      <c r="B647">
        <v>101</v>
      </c>
      <c r="C647">
        <v>1</v>
      </c>
      <c r="D647" t="str">
        <f>HLOOKUP(Dados!C647,'Variáveis e códigos'!$C$4:$F$5,2,FALSE)</f>
        <v>Masculino</v>
      </c>
      <c r="E647">
        <v>6</v>
      </c>
      <c r="F647">
        <v>1</v>
      </c>
      <c r="G647">
        <v>2</v>
      </c>
      <c r="H647">
        <v>0</v>
      </c>
      <c r="I647">
        <v>0</v>
      </c>
      <c r="J647">
        <v>2</v>
      </c>
      <c r="K647">
        <v>0</v>
      </c>
      <c r="L647">
        <v>0</v>
      </c>
      <c r="M647">
        <v>0</v>
      </c>
      <c r="N647">
        <v>10</v>
      </c>
    </row>
    <row r="648" spans="1:14" x14ac:dyDescent="0.2">
      <c r="A648">
        <v>647</v>
      </c>
      <c r="B648">
        <v>101</v>
      </c>
      <c r="C648">
        <v>2</v>
      </c>
      <c r="D648" t="str">
        <f>HLOOKUP(Dados!C648,'Variáveis e códigos'!$C$4:$F$5,2,FALSE)</f>
        <v>Feminino</v>
      </c>
      <c r="E648">
        <v>6</v>
      </c>
      <c r="F648">
        <v>1</v>
      </c>
      <c r="G648">
        <v>2</v>
      </c>
      <c r="H648">
        <v>1</v>
      </c>
      <c r="I648">
        <v>0</v>
      </c>
      <c r="J648">
        <v>2</v>
      </c>
      <c r="K648">
        <v>0</v>
      </c>
      <c r="L648">
        <v>0</v>
      </c>
      <c r="M648">
        <v>1</v>
      </c>
      <c r="N648">
        <v>9</v>
      </c>
    </row>
    <row r="649" spans="1:14" x14ac:dyDescent="0.2">
      <c r="A649">
        <v>648</v>
      </c>
      <c r="B649">
        <v>101</v>
      </c>
      <c r="C649">
        <v>1</v>
      </c>
      <c r="D649" t="str">
        <f>HLOOKUP(Dados!C649,'Variáveis e códigos'!$C$4:$F$5,2,FALSE)</f>
        <v>Masculino</v>
      </c>
      <c r="E649">
        <v>7</v>
      </c>
      <c r="F649">
        <v>1</v>
      </c>
      <c r="G649">
        <v>2</v>
      </c>
      <c r="H649">
        <v>1</v>
      </c>
      <c r="I649">
        <v>1</v>
      </c>
      <c r="J649">
        <v>1</v>
      </c>
      <c r="K649">
        <v>0</v>
      </c>
      <c r="L649">
        <v>0</v>
      </c>
      <c r="M649">
        <v>0</v>
      </c>
      <c r="N649">
        <v>9</v>
      </c>
    </row>
    <row r="650" spans="1:14" x14ac:dyDescent="0.2">
      <c r="A650">
        <v>649</v>
      </c>
      <c r="B650">
        <v>101</v>
      </c>
      <c r="C650">
        <v>1</v>
      </c>
      <c r="D650" t="str">
        <f>HLOOKUP(Dados!C650,'Variáveis e códigos'!$C$4:$F$5,2,FALSE)</f>
        <v>Masculino</v>
      </c>
      <c r="E650">
        <v>6</v>
      </c>
      <c r="F650">
        <v>1</v>
      </c>
      <c r="G650">
        <v>3</v>
      </c>
      <c r="H650">
        <v>2</v>
      </c>
      <c r="I650">
        <v>0</v>
      </c>
      <c r="J650">
        <v>1</v>
      </c>
      <c r="K650">
        <v>1</v>
      </c>
      <c r="L650">
        <v>0</v>
      </c>
      <c r="M650">
        <v>1</v>
      </c>
      <c r="N650">
        <v>10</v>
      </c>
    </row>
    <row r="651" spans="1:14" x14ac:dyDescent="0.2">
      <c r="A651">
        <v>650</v>
      </c>
      <c r="B651">
        <v>101</v>
      </c>
      <c r="C651">
        <v>1</v>
      </c>
      <c r="D651" t="str">
        <f>HLOOKUP(Dados!C651,'Variáveis e códigos'!$C$4:$F$5,2,FALSE)</f>
        <v>Masculino</v>
      </c>
      <c r="E651">
        <v>8</v>
      </c>
      <c r="F651">
        <v>1</v>
      </c>
      <c r="G651">
        <v>1</v>
      </c>
      <c r="H651">
        <v>0</v>
      </c>
      <c r="I651">
        <v>0</v>
      </c>
      <c r="J651">
        <v>1</v>
      </c>
      <c r="K651">
        <v>1</v>
      </c>
      <c r="L651">
        <v>0</v>
      </c>
      <c r="M651">
        <v>2</v>
      </c>
      <c r="N651">
        <v>9</v>
      </c>
    </row>
    <row r="652" spans="1:14" x14ac:dyDescent="0.2">
      <c r="A652">
        <v>651</v>
      </c>
      <c r="B652">
        <v>101</v>
      </c>
      <c r="C652">
        <v>2</v>
      </c>
      <c r="D652" t="str">
        <f>HLOOKUP(Dados!C652,'Variáveis e códigos'!$C$4:$F$5,2,FALSE)</f>
        <v>Feminino</v>
      </c>
      <c r="E652">
        <v>6</v>
      </c>
      <c r="F652">
        <v>1</v>
      </c>
      <c r="G652">
        <v>2</v>
      </c>
      <c r="H652">
        <v>1</v>
      </c>
      <c r="I652">
        <v>0</v>
      </c>
      <c r="J652">
        <v>2</v>
      </c>
      <c r="K652">
        <v>1</v>
      </c>
      <c r="L652">
        <v>0</v>
      </c>
      <c r="M652">
        <v>1</v>
      </c>
      <c r="N652">
        <v>9</v>
      </c>
    </row>
    <row r="653" spans="1:14" x14ac:dyDescent="0.2">
      <c r="A653">
        <v>652</v>
      </c>
      <c r="B653">
        <v>101</v>
      </c>
      <c r="C653">
        <v>1</v>
      </c>
      <c r="D653" t="str">
        <f>HLOOKUP(Dados!C653,'Variáveis e códigos'!$C$4:$F$5,2,FALSE)</f>
        <v>Masculino</v>
      </c>
      <c r="E653">
        <v>7</v>
      </c>
      <c r="F653">
        <v>1</v>
      </c>
      <c r="G653">
        <v>1</v>
      </c>
      <c r="H653">
        <v>1</v>
      </c>
      <c r="I653">
        <v>1</v>
      </c>
      <c r="J653">
        <v>1</v>
      </c>
      <c r="K653">
        <v>1</v>
      </c>
      <c r="L653">
        <v>0</v>
      </c>
      <c r="M653">
        <v>1</v>
      </c>
      <c r="N653">
        <v>8</v>
      </c>
    </row>
    <row r="654" spans="1:14" x14ac:dyDescent="0.2">
      <c r="A654">
        <v>653</v>
      </c>
      <c r="B654">
        <v>101</v>
      </c>
      <c r="C654">
        <v>1</v>
      </c>
      <c r="D654" t="str">
        <f>HLOOKUP(Dados!C654,'Variáveis e códigos'!$C$4:$F$5,2,FALSE)</f>
        <v>Masculino</v>
      </c>
      <c r="E654">
        <v>6</v>
      </c>
      <c r="F654">
        <v>1</v>
      </c>
      <c r="G654">
        <v>1</v>
      </c>
      <c r="H654">
        <v>1</v>
      </c>
      <c r="I654">
        <v>1</v>
      </c>
      <c r="J654">
        <v>2</v>
      </c>
      <c r="K654">
        <v>1</v>
      </c>
      <c r="L654">
        <v>0</v>
      </c>
      <c r="M654">
        <v>0</v>
      </c>
      <c r="N654">
        <v>9</v>
      </c>
    </row>
    <row r="655" spans="1:14" x14ac:dyDescent="0.2">
      <c r="A655">
        <v>654</v>
      </c>
      <c r="B655">
        <v>101</v>
      </c>
      <c r="C655">
        <v>1</v>
      </c>
      <c r="D655" t="str">
        <f>HLOOKUP(Dados!C655,'Variáveis e códigos'!$C$4:$F$5,2,FALSE)</f>
        <v>Masculino</v>
      </c>
      <c r="E655">
        <v>7</v>
      </c>
      <c r="F655">
        <v>1</v>
      </c>
      <c r="G655">
        <v>3</v>
      </c>
      <c r="H655">
        <v>1</v>
      </c>
      <c r="I655">
        <v>0</v>
      </c>
      <c r="J655">
        <v>2</v>
      </c>
      <c r="K655">
        <v>0</v>
      </c>
      <c r="L655">
        <v>0</v>
      </c>
      <c r="M655">
        <v>0</v>
      </c>
      <c r="N655">
        <v>8</v>
      </c>
    </row>
    <row r="656" spans="1:14" x14ac:dyDescent="0.2">
      <c r="A656">
        <v>655</v>
      </c>
      <c r="B656">
        <v>101</v>
      </c>
      <c r="C656">
        <v>1</v>
      </c>
      <c r="D656" t="str">
        <f>HLOOKUP(Dados!C656,'Variáveis e códigos'!$C$4:$F$5,2,FALSE)</f>
        <v>Masculino</v>
      </c>
      <c r="E656">
        <v>6</v>
      </c>
      <c r="F656">
        <v>1</v>
      </c>
      <c r="G656">
        <v>3</v>
      </c>
      <c r="H656">
        <v>2</v>
      </c>
      <c r="I656">
        <v>0</v>
      </c>
      <c r="J656">
        <v>2</v>
      </c>
      <c r="K656">
        <v>1</v>
      </c>
      <c r="L656">
        <v>1</v>
      </c>
      <c r="M656">
        <v>0</v>
      </c>
      <c r="N656">
        <v>9</v>
      </c>
    </row>
    <row r="657" spans="1:14" x14ac:dyDescent="0.2">
      <c r="A657">
        <v>656</v>
      </c>
      <c r="B657">
        <v>101</v>
      </c>
      <c r="C657">
        <v>2</v>
      </c>
      <c r="D657" t="str">
        <f>HLOOKUP(Dados!C657,'Variáveis e códigos'!$C$4:$F$5,2,FALSE)</f>
        <v>Feminino</v>
      </c>
      <c r="E657">
        <v>8</v>
      </c>
      <c r="F657">
        <v>1</v>
      </c>
      <c r="G657">
        <v>3</v>
      </c>
      <c r="H657">
        <v>2</v>
      </c>
      <c r="I657">
        <v>0</v>
      </c>
      <c r="J657">
        <v>2</v>
      </c>
      <c r="K657">
        <v>0</v>
      </c>
      <c r="L657">
        <v>0</v>
      </c>
      <c r="M657">
        <v>1</v>
      </c>
      <c r="N657">
        <v>7</v>
      </c>
    </row>
    <row r="658" spans="1:14" x14ac:dyDescent="0.2">
      <c r="A658">
        <v>657</v>
      </c>
      <c r="B658">
        <v>101</v>
      </c>
      <c r="C658">
        <v>2</v>
      </c>
      <c r="D658" t="str">
        <f>HLOOKUP(Dados!C658,'Variáveis e códigos'!$C$4:$F$5,2,FALSE)</f>
        <v>Feminino</v>
      </c>
      <c r="E658">
        <v>6</v>
      </c>
      <c r="F658">
        <v>1</v>
      </c>
      <c r="G658">
        <v>1</v>
      </c>
      <c r="H658">
        <v>0</v>
      </c>
      <c r="I658">
        <v>0</v>
      </c>
      <c r="J658">
        <v>2</v>
      </c>
      <c r="K658">
        <v>0</v>
      </c>
      <c r="L658">
        <v>0</v>
      </c>
      <c r="M658">
        <v>1</v>
      </c>
      <c r="N658">
        <v>8</v>
      </c>
    </row>
    <row r="659" spans="1:14" x14ac:dyDescent="0.2">
      <c r="A659">
        <v>658</v>
      </c>
      <c r="B659">
        <v>101</v>
      </c>
      <c r="C659">
        <v>1</v>
      </c>
      <c r="D659" t="str">
        <f>HLOOKUP(Dados!C659,'Variáveis e códigos'!$C$4:$F$5,2,FALSE)</f>
        <v>Masculino</v>
      </c>
      <c r="E659">
        <v>6</v>
      </c>
      <c r="F659">
        <v>1</v>
      </c>
      <c r="G659">
        <v>3</v>
      </c>
      <c r="H659">
        <v>2</v>
      </c>
      <c r="I659">
        <v>2</v>
      </c>
      <c r="J659">
        <v>2</v>
      </c>
      <c r="K659">
        <v>1</v>
      </c>
      <c r="L659">
        <v>1</v>
      </c>
      <c r="M659">
        <v>1</v>
      </c>
      <c r="N659">
        <v>9</v>
      </c>
    </row>
    <row r="660" spans="1:14" x14ac:dyDescent="0.2">
      <c r="A660">
        <v>659</v>
      </c>
      <c r="B660">
        <v>101</v>
      </c>
      <c r="C660">
        <v>1</v>
      </c>
      <c r="D660" t="str">
        <f>HLOOKUP(Dados!C660,'Variáveis e códigos'!$C$4:$F$5,2,FALSE)</f>
        <v>Masculino</v>
      </c>
      <c r="E660">
        <v>6</v>
      </c>
      <c r="F660">
        <v>1</v>
      </c>
      <c r="G660">
        <v>99</v>
      </c>
      <c r="H660">
        <v>2</v>
      </c>
      <c r="I660">
        <v>2</v>
      </c>
      <c r="J660">
        <v>1</v>
      </c>
      <c r="K660">
        <v>0</v>
      </c>
      <c r="L660">
        <v>1</v>
      </c>
      <c r="M660">
        <v>0</v>
      </c>
      <c r="N660">
        <v>8</v>
      </c>
    </row>
    <row r="661" spans="1:14" x14ac:dyDescent="0.2">
      <c r="A661">
        <v>660</v>
      </c>
      <c r="B661">
        <v>101</v>
      </c>
      <c r="C661">
        <v>1</v>
      </c>
      <c r="D661" t="str">
        <f>HLOOKUP(Dados!C661,'Variáveis e códigos'!$C$4:$F$5,2,FALSE)</f>
        <v>Masculino</v>
      </c>
      <c r="E661">
        <v>8</v>
      </c>
      <c r="F661">
        <v>1</v>
      </c>
      <c r="G661">
        <v>3</v>
      </c>
      <c r="H661">
        <v>0</v>
      </c>
      <c r="I661">
        <v>0</v>
      </c>
      <c r="J661">
        <v>2</v>
      </c>
      <c r="K661">
        <v>0</v>
      </c>
      <c r="L661">
        <v>0</v>
      </c>
      <c r="M661">
        <v>0</v>
      </c>
      <c r="N661">
        <v>7</v>
      </c>
    </row>
    <row r="662" spans="1:14" x14ac:dyDescent="0.2">
      <c r="A662">
        <v>661</v>
      </c>
      <c r="B662">
        <v>101</v>
      </c>
      <c r="C662">
        <v>1</v>
      </c>
      <c r="D662" t="str">
        <f>HLOOKUP(Dados!C662,'Variáveis e códigos'!$C$4:$F$5,2,FALSE)</f>
        <v>Masculino</v>
      </c>
      <c r="E662">
        <v>9</v>
      </c>
      <c r="F662">
        <v>1</v>
      </c>
      <c r="G662">
        <v>1</v>
      </c>
      <c r="H662">
        <v>2</v>
      </c>
      <c r="I662">
        <v>0</v>
      </c>
      <c r="J662">
        <v>1</v>
      </c>
      <c r="K662">
        <v>0</v>
      </c>
      <c r="L662">
        <v>0</v>
      </c>
      <c r="M662">
        <v>0</v>
      </c>
      <c r="N662">
        <v>8</v>
      </c>
    </row>
    <row r="663" spans="1:14" x14ac:dyDescent="0.2">
      <c r="A663">
        <v>662</v>
      </c>
      <c r="B663">
        <v>101</v>
      </c>
      <c r="C663">
        <v>1</v>
      </c>
      <c r="D663" t="str">
        <f>HLOOKUP(Dados!C663,'Variáveis e códigos'!$C$4:$F$5,2,FALSE)</f>
        <v>Masculino</v>
      </c>
      <c r="E663">
        <v>9</v>
      </c>
      <c r="F663">
        <v>1</v>
      </c>
      <c r="G663">
        <v>3</v>
      </c>
      <c r="H663">
        <v>0</v>
      </c>
      <c r="I663">
        <v>0</v>
      </c>
      <c r="J663">
        <v>2</v>
      </c>
      <c r="K663">
        <v>0</v>
      </c>
      <c r="L663">
        <v>0</v>
      </c>
      <c r="M663">
        <v>0</v>
      </c>
      <c r="N663">
        <v>8</v>
      </c>
    </row>
    <row r="664" spans="1:14" x14ac:dyDescent="0.2">
      <c r="A664">
        <v>663</v>
      </c>
      <c r="B664">
        <v>101</v>
      </c>
      <c r="C664">
        <v>2</v>
      </c>
      <c r="D664" t="str">
        <f>HLOOKUP(Dados!C664,'Variáveis e códigos'!$C$4:$F$5,2,FALSE)</f>
        <v>Feminino</v>
      </c>
      <c r="E664">
        <v>9</v>
      </c>
      <c r="F664">
        <v>1</v>
      </c>
      <c r="G664">
        <v>99</v>
      </c>
      <c r="H664">
        <v>1</v>
      </c>
      <c r="I664">
        <v>1</v>
      </c>
      <c r="J664">
        <v>2</v>
      </c>
      <c r="K664">
        <v>0</v>
      </c>
      <c r="L664">
        <v>0</v>
      </c>
      <c r="M664">
        <v>0</v>
      </c>
      <c r="N664">
        <v>10</v>
      </c>
    </row>
    <row r="665" spans="1:14" x14ac:dyDescent="0.2">
      <c r="A665">
        <v>664</v>
      </c>
      <c r="B665">
        <v>101</v>
      </c>
      <c r="C665">
        <v>1</v>
      </c>
      <c r="D665" t="str">
        <f>HLOOKUP(Dados!C665,'Variáveis e códigos'!$C$4:$F$5,2,FALSE)</f>
        <v>Masculino</v>
      </c>
      <c r="E665">
        <v>7</v>
      </c>
      <c r="F665">
        <v>1</v>
      </c>
      <c r="G665">
        <v>1</v>
      </c>
      <c r="H665">
        <v>0</v>
      </c>
      <c r="I665">
        <v>0</v>
      </c>
      <c r="J665">
        <v>2</v>
      </c>
      <c r="K665">
        <v>0</v>
      </c>
      <c r="L665">
        <v>0</v>
      </c>
      <c r="M665">
        <v>0</v>
      </c>
      <c r="N665">
        <v>8</v>
      </c>
    </row>
    <row r="666" spans="1:14" x14ac:dyDescent="0.2">
      <c r="A666">
        <v>665</v>
      </c>
      <c r="B666">
        <v>101</v>
      </c>
      <c r="C666">
        <v>2</v>
      </c>
      <c r="D666" t="str">
        <f>HLOOKUP(Dados!C666,'Variáveis e códigos'!$C$4:$F$5,2,FALSE)</f>
        <v>Feminino</v>
      </c>
      <c r="E666">
        <v>7</v>
      </c>
      <c r="F666">
        <v>1</v>
      </c>
      <c r="G666">
        <v>2</v>
      </c>
      <c r="H666">
        <v>1</v>
      </c>
      <c r="I666">
        <v>0</v>
      </c>
      <c r="J666">
        <v>2</v>
      </c>
      <c r="K666">
        <v>0</v>
      </c>
      <c r="L666">
        <v>1</v>
      </c>
      <c r="M666">
        <v>1</v>
      </c>
      <c r="N666">
        <v>8</v>
      </c>
    </row>
    <row r="667" spans="1:14" x14ac:dyDescent="0.2">
      <c r="A667">
        <v>666</v>
      </c>
      <c r="B667">
        <v>101</v>
      </c>
      <c r="C667">
        <v>1</v>
      </c>
      <c r="D667" t="str">
        <f>HLOOKUP(Dados!C667,'Variáveis e códigos'!$C$4:$F$5,2,FALSE)</f>
        <v>Masculino</v>
      </c>
      <c r="E667">
        <v>7</v>
      </c>
      <c r="F667">
        <v>1</v>
      </c>
      <c r="G667">
        <v>3</v>
      </c>
      <c r="H667">
        <v>0</v>
      </c>
      <c r="I667">
        <v>0</v>
      </c>
      <c r="J667">
        <v>2</v>
      </c>
      <c r="K667">
        <v>0</v>
      </c>
      <c r="L667">
        <v>1</v>
      </c>
      <c r="M667">
        <v>0</v>
      </c>
      <c r="N667">
        <v>10</v>
      </c>
    </row>
    <row r="668" spans="1:14" x14ac:dyDescent="0.2">
      <c r="A668">
        <v>667</v>
      </c>
      <c r="B668">
        <v>101</v>
      </c>
      <c r="C668">
        <v>2</v>
      </c>
      <c r="D668" t="str">
        <f>HLOOKUP(Dados!C668,'Variáveis e códigos'!$C$4:$F$5,2,FALSE)</f>
        <v>Feminino</v>
      </c>
      <c r="E668">
        <v>6</v>
      </c>
      <c r="F668">
        <v>1</v>
      </c>
      <c r="G668">
        <v>2</v>
      </c>
      <c r="H668">
        <v>0</v>
      </c>
      <c r="I668">
        <v>0</v>
      </c>
      <c r="J668">
        <v>2</v>
      </c>
      <c r="K668">
        <v>0</v>
      </c>
      <c r="L668">
        <v>0</v>
      </c>
      <c r="M668">
        <v>0</v>
      </c>
      <c r="N668">
        <v>7</v>
      </c>
    </row>
    <row r="669" spans="1:14" x14ac:dyDescent="0.2">
      <c r="A669">
        <v>668</v>
      </c>
      <c r="B669">
        <v>101</v>
      </c>
      <c r="C669">
        <v>2</v>
      </c>
      <c r="D669" t="str">
        <f>HLOOKUP(Dados!C669,'Variáveis e códigos'!$C$4:$F$5,2,FALSE)</f>
        <v>Feminino</v>
      </c>
      <c r="E669">
        <v>9</v>
      </c>
      <c r="F669">
        <v>1</v>
      </c>
      <c r="G669">
        <v>1</v>
      </c>
      <c r="H669">
        <v>0</v>
      </c>
      <c r="I669">
        <v>0</v>
      </c>
      <c r="J669">
        <v>2</v>
      </c>
      <c r="K669">
        <v>0</v>
      </c>
      <c r="L669">
        <v>1</v>
      </c>
      <c r="M669">
        <v>1</v>
      </c>
      <c r="N669">
        <v>9</v>
      </c>
    </row>
    <row r="670" spans="1:14" x14ac:dyDescent="0.2">
      <c r="A670">
        <v>669</v>
      </c>
      <c r="B670">
        <v>101</v>
      </c>
      <c r="C670">
        <v>1</v>
      </c>
      <c r="D670" t="str">
        <f>HLOOKUP(Dados!C670,'Variáveis e códigos'!$C$4:$F$5,2,FALSE)</f>
        <v>Masculino</v>
      </c>
      <c r="E670">
        <v>5</v>
      </c>
      <c r="F670">
        <v>1</v>
      </c>
      <c r="G670">
        <v>1</v>
      </c>
      <c r="H670">
        <v>2</v>
      </c>
      <c r="I670">
        <v>1</v>
      </c>
      <c r="J670">
        <v>1</v>
      </c>
      <c r="K670">
        <v>0</v>
      </c>
      <c r="L670">
        <v>0</v>
      </c>
      <c r="M670">
        <v>0</v>
      </c>
      <c r="N670">
        <v>9</v>
      </c>
    </row>
    <row r="671" spans="1:14" x14ac:dyDescent="0.2">
      <c r="A671">
        <v>670</v>
      </c>
      <c r="B671">
        <v>101</v>
      </c>
      <c r="C671">
        <v>1</v>
      </c>
      <c r="D671" t="str">
        <f>HLOOKUP(Dados!C671,'Variáveis e códigos'!$C$4:$F$5,2,FALSE)</f>
        <v>Masculino</v>
      </c>
      <c r="E671">
        <v>6</v>
      </c>
      <c r="F671">
        <v>1</v>
      </c>
      <c r="G671">
        <v>3</v>
      </c>
      <c r="H671">
        <v>0</v>
      </c>
      <c r="I671">
        <v>0</v>
      </c>
      <c r="J671">
        <v>2</v>
      </c>
      <c r="K671">
        <v>0</v>
      </c>
      <c r="L671">
        <v>0</v>
      </c>
      <c r="M671">
        <v>0</v>
      </c>
      <c r="N671">
        <v>10</v>
      </c>
    </row>
    <row r="672" spans="1:14" x14ac:dyDescent="0.2">
      <c r="A672">
        <v>671</v>
      </c>
      <c r="B672">
        <v>101</v>
      </c>
      <c r="C672">
        <v>2</v>
      </c>
      <c r="D672" t="str">
        <f>HLOOKUP(Dados!C672,'Variáveis e códigos'!$C$4:$F$5,2,FALSE)</f>
        <v>Feminino</v>
      </c>
      <c r="E672">
        <v>8</v>
      </c>
      <c r="F672">
        <v>1</v>
      </c>
      <c r="G672">
        <v>2</v>
      </c>
      <c r="H672">
        <v>0</v>
      </c>
      <c r="I672">
        <v>0</v>
      </c>
      <c r="J672">
        <v>2</v>
      </c>
      <c r="K672">
        <v>0</v>
      </c>
      <c r="L672">
        <v>0</v>
      </c>
      <c r="M672">
        <v>0</v>
      </c>
      <c r="N672">
        <v>9</v>
      </c>
    </row>
    <row r="673" spans="1:14" x14ac:dyDescent="0.2">
      <c r="A673">
        <v>672</v>
      </c>
      <c r="B673">
        <v>101</v>
      </c>
      <c r="C673">
        <v>2</v>
      </c>
      <c r="D673" t="str">
        <f>HLOOKUP(Dados!C673,'Variáveis e códigos'!$C$4:$F$5,2,FALSE)</f>
        <v>Feminino</v>
      </c>
      <c r="E673">
        <v>9</v>
      </c>
      <c r="F673">
        <v>1</v>
      </c>
      <c r="G673">
        <v>1</v>
      </c>
      <c r="H673">
        <v>2</v>
      </c>
      <c r="I673">
        <v>1</v>
      </c>
      <c r="J673">
        <v>2</v>
      </c>
      <c r="K673">
        <v>0</v>
      </c>
      <c r="L673">
        <v>0</v>
      </c>
      <c r="M673">
        <v>0</v>
      </c>
      <c r="N673">
        <v>8</v>
      </c>
    </row>
    <row r="674" spans="1:14" x14ac:dyDescent="0.2">
      <c r="A674">
        <v>673</v>
      </c>
      <c r="B674">
        <v>101</v>
      </c>
      <c r="C674">
        <v>1</v>
      </c>
      <c r="D674" t="str">
        <f>HLOOKUP(Dados!C674,'Variáveis e códigos'!$C$4:$F$5,2,FALSE)</f>
        <v>Masculino</v>
      </c>
      <c r="E674">
        <v>10</v>
      </c>
      <c r="F674">
        <v>1</v>
      </c>
      <c r="G674">
        <v>2</v>
      </c>
      <c r="H674">
        <v>2</v>
      </c>
      <c r="I674">
        <v>1</v>
      </c>
      <c r="J674">
        <v>1</v>
      </c>
      <c r="K674">
        <v>0</v>
      </c>
      <c r="L674">
        <v>0</v>
      </c>
      <c r="M674">
        <v>1</v>
      </c>
      <c r="N674">
        <v>9</v>
      </c>
    </row>
    <row r="675" spans="1:14" x14ac:dyDescent="0.2">
      <c r="A675">
        <v>674</v>
      </c>
      <c r="B675">
        <v>101</v>
      </c>
      <c r="C675">
        <v>1</v>
      </c>
      <c r="D675" t="str">
        <f>HLOOKUP(Dados!C675,'Variáveis e códigos'!$C$4:$F$5,2,FALSE)</f>
        <v>Masculino</v>
      </c>
      <c r="E675">
        <v>6</v>
      </c>
      <c r="F675">
        <v>1</v>
      </c>
      <c r="G675">
        <v>99</v>
      </c>
      <c r="H675">
        <v>1</v>
      </c>
      <c r="I675">
        <v>1</v>
      </c>
      <c r="J675">
        <v>2</v>
      </c>
      <c r="K675">
        <v>0</v>
      </c>
      <c r="L675">
        <v>0</v>
      </c>
      <c r="M675">
        <v>1</v>
      </c>
      <c r="N675">
        <v>10</v>
      </c>
    </row>
    <row r="676" spans="1:14" x14ac:dyDescent="0.2">
      <c r="A676">
        <v>675</v>
      </c>
      <c r="B676">
        <v>101</v>
      </c>
      <c r="C676">
        <v>2</v>
      </c>
      <c r="D676" t="str">
        <f>HLOOKUP(Dados!C676,'Variáveis e códigos'!$C$4:$F$5,2,FALSE)</f>
        <v>Feminino</v>
      </c>
      <c r="E676">
        <v>9</v>
      </c>
      <c r="F676">
        <v>1</v>
      </c>
      <c r="G676">
        <v>3</v>
      </c>
      <c r="H676">
        <v>0</v>
      </c>
      <c r="I676">
        <v>0</v>
      </c>
      <c r="J676">
        <v>2</v>
      </c>
      <c r="K676">
        <v>0</v>
      </c>
      <c r="L676">
        <v>0</v>
      </c>
      <c r="M676">
        <v>0</v>
      </c>
      <c r="N676">
        <v>8</v>
      </c>
    </row>
    <row r="677" spans="1:14" x14ac:dyDescent="0.2">
      <c r="A677">
        <v>676</v>
      </c>
      <c r="B677">
        <v>101</v>
      </c>
      <c r="C677">
        <v>2</v>
      </c>
      <c r="D677" t="str">
        <f>HLOOKUP(Dados!C677,'Variáveis e códigos'!$C$4:$F$5,2,FALSE)</f>
        <v>Feminino</v>
      </c>
      <c r="E677">
        <v>7</v>
      </c>
      <c r="F677">
        <v>1</v>
      </c>
      <c r="G677">
        <v>1</v>
      </c>
      <c r="H677">
        <v>1</v>
      </c>
      <c r="I677">
        <v>0</v>
      </c>
      <c r="J677">
        <v>2</v>
      </c>
      <c r="K677">
        <v>0</v>
      </c>
      <c r="L677">
        <v>0</v>
      </c>
      <c r="M677">
        <v>2</v>
      </c>
      <c r="N677">
        <v>9</v>
      </c>
    </row>
    <row r="678" spans="1:14" x14ac:dyDescent="0.2">
      <c r="A678">
        <v>677</v>
      </c>
      <c r="B678">
        <v>101</v>
      </c>
      <c r="C678">
        <v>1</v>
      </c>
      <c r="D678" t="str">
        <f>HLOOKUP(Dados!C678,'Variáveis e códigos'!$C$4:$F$5,2,FALSE)</f>
        <v>Masculino</v>
      </c>
      <c r="E678">
        <v>7</v>
      </c>
      <c r="F678">
        <v>1</v>
      </c>
      <c r="G678">
        <v>2</v>
      </c>
      <c r="H678">
        <v>1</v>
      </c>
      <c r="I678">
        <v>0</v>
      </c>
      <c r="J678">
        <v>2</v>
      </c>
      <c r="K678">
        <v>0</v>
      </c>
      <c r="L678">
        <v>0</v>
      </c>
      <c r="M678">
        <v>99</v>
      </c>
      <c r="N678">
        <v>8</v>
      </c>
    </row>
    <row r="679" spans="1:14" x14ac:dyDescent="0.2">
      <c r="A679">
        <v>678</v>
      </c>
      <c r="B679">
        <v>101</v>
      </c>
      <c r="C679">
        <v>2</v>
      </c>
      <c r="D679" t="str">
        <f>HLOOKUP(Dados!C679,'Variáveis e códigos'!$C$4:$F$5,2,FALSE)</f>
        <v>Feminino</v>
      </c>
      <c r="E679">
        <v>9</v>
      </c>
      <c r="F679">
        <v>1</v>
      </c>
      <c r="G679">
        <v>3</v>
      </c>
      <c r="H679">
        <v>0</v>
      </c>
      <c r="I679">
        <v>0</v>
      </c>
      <c r="J679">
        <v>2</v>
      </c>
      <c r="K679">
        <v>0</v>
      </c>
      <c r="L679">
        <v>0</v>
      </c>
      <c r="M679">
        <v>1</v>
      </c>
      <c r="N679">
        <v>8</v>
      </c>
    </row>
    <row r="680" spans="1:14" x14ac:dyDescent="0.2">
      <c r="A680">
        <v>679</v>
      </c>
      <c r="B680">
        <v>101</v>
      </c>
      <c r="C680">
        <v>1</v>
      </c>
      <c r="D680" t="str">
        <f>HLOOKUP(Dados!C680,'Variáveis e códigos'!$C$4:$F$5,2,FALSE)</f>
        <v>Masculino</v>
      </c>
      <c r="E680">
        <v>10</v>
      </c>
      <c r="F680">
        <v>1</v>
      </c>
      <c r="G680">
        <v>1</v>
      </c>
      <c r="H680">
        <v>1</v>
      </c>
      <c r="I680">
        <v>0</v>
      </c>
      <c r="J680">
        <v>2</v>
      </c>
      <c r="K680">
        <v>0</v>
      </c>
      <c r="L680">
        <v>0</v>
      </c>
      <c r="M680">
        <v>1</v>
      </c>
      <c r="N680">
        <v>9</v>
      </c>
    </row>
    <row r="681" spans="1:14" x14ac:dyDescent="0.2">
      <c r="A681">
        <v>680</v>
      </c>
      <c r="B681">
        <v>101</v>
      </c>
      <c r="C681">
        <v>2</v>
      </c>
      <c r="D681" t="str">
        <f>HLOOKUP(Dados!C681,'Variáveis e códigos'!$C$4:$F$5,2,FALSE)</f>
        <v>Feminino</v>
      </c>
      <c r="E681">
        <v>8</v>
      </c>
      <c r="F681">
        <v>1</v>
      </c>
      <c r="G681">
        <v>3</v>
      </c>
      <c r="H681">
        <v>0</v>
      </c>
      <c r="I681">
        <v>0</v>
      </c>
      <c r="J681">
        <v>2</v>
      </c>
      <c r="K681">
        <v>0</v>
      </c>
      <c r="L681">
        <v>2</v>
      </c>
      <c r="M681">
        <v>2</v>
      </c>
      <c r="N681">
        <v>10</v>
      </c>
    </row>
    <row r="682" spans="1:14" x14ac:dyDescent="0.2">
      <c r="A682">
        <v>681</v>
      </c>
      <c r="B682">
        <v>101</v>
      </c>
      <c r="C682">
        <v>2</v>
      </c>
      <c r="D682" t="str">
        <f>HLOOKUP(Dados!C682,'Variáveis e códigos'!$C$4:$F$5,2,FALSE)</f>
        <v>Feminino</v>
      </c>
      <c r="E682">
        <v>6</v>
      </c>
      <c r="F682">
        <v>1</v>
      </c>
      <c r="G682">
        <v>3</v>
      </c>
      <c r="H682">
        <v>0</v>
      </c>
      <c r="I682">
        <v>0</v>
      </c>
      <c r="J682">
        <v>2</v>
      </c>
      <c r="K682">
        <v>0</v>
      </c>
      <c r="L682">
        <v>0</v>
      </c>
      <c r="M682">
        <v>0</v>
      </c>
      <c r="N682">
        <v>9</v>
      </c>
    </row>
    <row r="683" spans="1:14" x14ac:dyDescent="0.2">
      <c r="A683">
        <v>682</v>
      </c>
      <c r="B683">
        <v>101</v>
      </c>
      <c r="C683">
        <v>2</v>
      </c>
      <c r="D683" t="str">
        <f>HLOOKUP(Dados!C683,'Variáveis e códigos'!$C$4:$F$5,2,FALSE)</f>
        <v>Feminino</v>
      </c>
      <c r="E683">
        <v>6</v>
      </c>
      <c r="F683">
        <v>1</v>
      </c>
      <c r="G683">
        <v>99</v>
      </c>
      <c r="H683">
        <v>2</v>
      </c>
      <c r="I683">
        <v>1</v>
      </c>
      <c r="J683">
        <v>2</v>
      </c>
      <c r="K683">
        <v>1</v>
      </c>
      <c r="L683">
        <v>0</v>
      </c>
      <c r="M683">
        <v>1</v>
      </c>
      <c r="N683">
        <v>8</v>
      </c>
    </row>
    <row r="684" spans="1:14" x14ac:dyDescent="0.2">
      <c r="A684">
        <v>683</v>
      </c>
      <c r="B684">
        <v>101</v>
      </c>
      <c r="C684">
        <v>1</v>
      </c>
      <c r="D684" t="str">
        <f>HLOOKUP(Dados!C684,'Variáveis e códigos'!$C$4:$F$5,2,FALSE)</f>
        <v>Masculino</v>
      </c>
      <c r="E684">
        <v>7</v>
      </c>
      <c r="F684">
        <v>1</v>
      </c>
      <c r="G684">
        <v>2</v>
      </c>
      <c r="H684">
        <v>0</v>
      </c>
      <c r="I684">
        <v>0</v>
      </c>
      <c r="J684">
        <v>2</v>
      </c>
      <c r="K684">
        <v>0</v>
      </c>
      <c r="L684">
        <v>0</v>
      </c>
      <c r="M684">
        <v>0</v>
      </c>
      <c r="N684">
        <v>8</v>
      </c>
    </row>
    <row r="685" spans="1:14" x14ac:dyDescent="0.2">
      <c r="A685">
        <v>684</v>
      </c>
      <c r="B685">
        <v>101</v>
      </c>
      <c r="C685">
        <v>1</v>
      </c>
      <c r="D685" t="str">
        <f>HLOOKUP(Dados!C685,'Variáveis e códigos'!$C$4:$F$5,2,FALSE)</f>
        <v>Masculino</v>
      </c>
      <c r="E685">
        <v>9</v>
      </c>
      <c r="F685">
        <v>1</v>
      </c>
      <c r="G685">
        <v>2</v>
      </c>
      <c r="H685">
        <v>0</v>
      </c>
      <c r="I685">
        <v>0</v>
      </c>
      <c r="J685">
        <v>2</v>
      </c>
      <c r="K685">
        <v>0</v>
      </c>
      <c r="L685">
        <v>0</v>
      </c>
      <c r="M685">
        <v>0</v>
      </c>
      <c r="N685">
        <v>9</v>
      </c>
    </row>
    <row r="686" spans="1:14" x14ac:dyDescent="0.2">
      <c r="A686">
        <v>685</v>
      </c>
      <c r="B686">
        <v>101</v>
      </c>
      <c r="C686">
        <v>2</v>
      </c>
      <c r="D686" t="str">
        <f>HLOOKUP(Dados!C686,'Variáveis e códigos'!$C$4:$F$5,2,FALSE)</f>
        <v>Feminino</v>
      </c>
      <c r="E686">
        <v>9</v>
      </c>
      <c r="F686">
        <v>1</v>
      </c>
      <c r="G686">
        <v>1</v>
      </c>
      <c r="H686">
        <v>0</v>
      </c>
      <c r="I686">
        <v>0</v>
      </c>
      <c r="J686">
        <v>2</v>
      </c>
      <c r="K686">
        <v>0</v>
      </c>
      <c r="L686">
        <v>0</v>
      </c>
      <c r="M686">
        <v>2</v>
      </c>
      <c r="N686">
        <v>9</v>
      </c>
    </row>
    <row r="687" spans="1:14" x14ac:dyDescent="0.2">
      <c r="A687">
        <v>686</v>
      </c>
      <c r="B687">
        <v>101</v>
      </c>
      <c r="C687">
        <v>2</v>
      </c>
      <c r="D687" t="str">
        <f>HLOOKUP(Dados!C687,'Variáveis e códigos'!$C$4:$F$5,2,FALSE)</f>
        <v>Feminino</v>
      </c>
      <c r="E687">
        <v>7</v>
      </c>
      <c r="F687">
        <v>1</v>
      </c>
      <c r="G687">
        <v>2</v>
      </c>
      <c r="H687">
        <v>1</v>
      </c>
      <c r="I687">
        <v>0</v>
      </c>
      <c r="J687">
        <v>2</v>
      </c>
      <c r="K687">
        <v>0</v>
      </c>
      <c r="L687">
        <v>0</v>
      </c>
      <c r="M687">
        <v>0</v>
      </c>
      <c r="N687">
        <v>10</v>
      </c>
    </row>
    <row r="688" spans="1:14" x14ac:dyDescent="0.2">
      <c r="A688">
        <v>687</v>
      </c>
      <c r="B688">
        <v>101</v>
      </c>
      <c r="C688">
        <v>2</v>
      </c>
      <c r="D688" t="str">
        <f>HLOOKUP(Dados!C688,'Variáveis e códigos'!$C$4:$F$5,2,FALSE)</f>
        <v>Feminino</v>
      </c>
      <c r="E688">
        <v>3</v>
      </c>
      <c r="F688">
        <v>0</v>
      </c>
      <c r="G688">
        <v>2</v>
      </c>
      <c r="H688">
        <v>2</v>
      </c>
      <c r="I688">
        <v>0</v>
      </c>
      <c r="J688">
        <v>2</v>
      </c>
      <c r="K688">
        <v>0</v>
      </c>
      <c r="L688">
        <v>0</v>
      </c>
      <c r="M688">
        <v>0</v>
      </c>
      <c r="N688">
        <v>7</v>
      </c>
    </row>
    <row r="689" spans="1:14" x14ac:dyDescent="0.2">
      <c r="A689">
        <v>688</v>
      </c>
      <c r="B689">
        <v>101</v>
      </c>
      <c r="C689">
        <v>1</v>
      </c>
      <c r="D689" t="str">
        <f>HLOOKUP(Dados!C689,'Variáveis e códigos'!$C$4:$F$5,2,FALSE)</f>
        <v>Masculino</v>
      </c>
      <c r="E689">
        <v>5</v>
      </c>
      <c r="F689">
        <v>0</v>
      </c>
      <c r="G689">
        <v>2</v>
      </c>
      <c r="H689">
        <v>1</v>
      </c>
      <c r="I689">
        <v>0</v>
      </c>
      <c r="J689">
        <v>2</v>
      </c>
      <c r="K689">
        <v>0</v>
      </c>
      <c r="L689">
        <v>0</v>
      </c>
      <c r="M689">
        <v>0</v>
      </c>
      <c r="N689">
        <v>8</v>
      </c>
    </row>
    <row r="690" spans="1:14" x14ac:dyDescent="0.2">
      <c r="A690">
        <v>689</v>
      </c>
      <c r="B690">
        <v>101</v>
      </c>
      <c r="C690">
        <v>1</v>
      </c>
      <c r="D690" t="str">
        <f>HLOOKUP(Dados!C690,'Variáveis e códigos'!$C$4:$F$5,2,FALSE)</f>
        <v>Masculino</v>
      </c>
      <c r="E690">
        <v>7</v>
      </c>
      <c r="F690">
        <v>1</v>
      </c>
      <c r="G690">
        <v>2</v>
      </c>
      <c r="H690">
        <v>2</v>
      </c>
      <c r="I690">
        <v>1</v>
      </c>
      <c r="J690">
        <v>2</v>
      </c>
      <c r="K690">
        <v>1</v>
      </c>
      <c r="L690">
        <v>0</v>
      </c>
      <c r="M690">
        <v>0</v>
      </c>
      <c r="N690">
        <v>8</v>
      </c>
    </row>
    <row r="691" spans="1:14" x14ac:dyDescent="0.2">
      <c r="A691">
        <v>690</v>
      </c>
      <c r="B691">
        <v>101</v>
      </c>
      <c r="C691">
        <v>1</v>
      </c>
      <c r="D691" t="str">
        <f>HLOOKUP(Dados!C691,'Variáveis e códigos'!$C$4:$F$5,2,FALSE)</f>
        <v>Masculino</v>
      </c>
      <c r="E691">
        <v>8</v>
      </c>
      <c r="F691">
        <v>1</v>
      </c>
      <c r="G691">
        <v>1</v>
      </c>
      <c r="H691">
        <v>1</v>
      </c>
      <c r="I691">
        <v>1</v>
      </c>
      <c r="J691">
        <v>1</v>
      </c>
      <c r="K691">
        <v>1</v>
      </c>
      <c r="L691">
        <v>1</v>
      </c>
      <c r="M691">
        <v>1</v>
      </c>
      <c r="N691">
        <v>8</v>
      </c>
    </row>
    <row r="692" spans="1:14" x14ac:dyDescent="0.2">
      <c r="A692">
        <v>691</v>
      </c>
      <c r="B692">
        <v>101</v>
      </c>
      <c r="C692">
        <v>2</v>
      </c>
      <c r="D692" t="str">
        <f>HLOOKUP(Dados!C692,'Variáveis e códigos'!$C$4:$F$5,2,FALSE)</f>
        <v>Feminino</v>
      </c>
      <c r="E692">
        <v>8</v>
      </c>
      <c r="F692">
        <v>1</v>
      </c>
      <c r="G692">
        <v>3</v>
      </c>
      <c r="H692">
        <v>0</v>
      </c>
      <c r="I692">
        <v>0</v>
      </c>
      <c r="J692">
        <v>2</v>
      </c>
      <c r="K692">
        <v>0</v>
      </c>
      <c r="L692">
        <v>0</v>
      </c>
      <c r="M692">
        <v>0</v>
      </c>
      <c r="N692">
        <v>9</v>
      </c>
    </row>
    <row r="693" spans="1:14" x14ac:dyDescent="0.2">
      <c r="A693">
        <v>692</v>
      </c>
      <c r="B693">
        <v>101</v>
      </c>
      <c r="C693">
        <v>2</v>
      </c>
      <c r="D693" t="str">
        <f>HLOOKUP(Dados!C693,'Variáveis e códigos'!$C$4:$F$5,2,FALSE)</f>
        <v>Feminino</v>
      </c>
      <c r="E693">
        <v>8</v>
      </c>
      <c r="F693">
        <v>1</v>
      </c>
      <c r="G693">
        <v>3</v>
      </c>
      <c r="H693">
        <v>1</v>
      </c>
      <c r="I693">
        <v>1</v>
      </c>
      <c r="J693">
        <v>2</v>
      </c>
      <c r="K693">
        <v>0</v>
      </c>
      <c r="L693">
        <v>0</v>
      </c>
      <c r="M693">
        <v>1</v>
      </c>
      <c r="N693">
        <v>10</v>
      </c>
    </row>
    <row r="694" spans="1:14" x14ac:dyDescent="0.2">
      <c r="A694">
        <v>693</v>
      </c>
      <c r="B694">
        <v>101</v>
      </c>
      <c r="C694">
        <v>1</v>
      </c>
      <c r="D694" t="str">
        <f>HLOOKUP(Dados!C694,'Variáveis e códigos'!$C$4:$F$5,2,FALSE)</f>
        <v>Masculino</v>
      </c>
      <c r="E694">
        <v>5</v>
      </c>
      <c r="F694">
        <v>0</v>
      </c>
      <c r="G694">
        <v>1</v>
      </c>
      <c r="H694">
        <v>1</v>
      </c>
      <c r="I694">
        <v>1</v>
      </c>
      <c r="J694">
        <v>2</v>
      </c>
      <c r="K694">
        <v>0</v>
      </c>
      <c r="L694">
        <v>0</v>
      </c>
      <c r="M694">
        <v>0</v>
      </c>
      <c r="N694">
        <v>8</v>
      </c>
    </row>
    <row r="695" spans="1:14" x14ac:dyDescent="0.2">
      <c r="A695">
        <v>694</v>
      </c>
      <c r="B695">
        <v>101</v>
      </c>
      <c r="C695">
        <v>1</v>
      </c>
      <c r="D695" t="str">
        <f>HLOOKUP(Dados!C695,'Variáveis e códigos'!$C$4:$F$5,2,FALSE)</f>
        <v>Masculino</v>
      </c>
      <c r="E695">
        <v>7</v>
      </c>
      <c r="F695">
        <v>1</v>
      </c>
      <c r="G695">
        <v>2</v>
      </c>
      <c r="H695">
        <v>1</v>
      </c>
      <c r="I695">
        <v>0</v>
      </c>
      <c r="J695">
        <v>1</v>
      </c>
      <c r="K695">
        <v>0</v>
      </c>
      <c r="L695">
        <v>1</v>
      </c>
      <c r="M695">
        <v>0</v>
      </c>
      <c r="N695">
        <v>9</v>
      </c>
    </row>
    <row r="696" spans="1:14" x14ac:dyDescent="0.2">
      <c r="A696">
        <v>695</v>
      </c>
      <c r="B696">
        <v>101</v>
      </c>
      <c r="C696">
        <v>1</v>
      </c>
      <c r="D696" t="str">
        <f>HLOOKUP(Dados!C696,'Variáveis e códigos'!$C$4:$F$5,2,FALSE)</f>
        <v>Masculino</v>
      </c>
      <c r="E696">
        <v>10</v>
      </c>
      <c r="F696">
        <v>1</v>
      </c>
      <c r="G696">
        <v>1</v>
      </c>
      <c r="H696">
        <v>2</v>
      </c>
      <c r="I696">
        <v>2</v>
      </c>
      <c r="J696">
        <v>2</v>
      </c>
      <c r="K696">
        <v>1</v>
      </c>
      <c r="L696">
        <v>2</v>
      </c>
      <c r="M696">
        <v>2</v>
      </c>
      <c r="N696">
        <v>8</v>
      </c>
    </row>
    <row r="697" spans="1:14" x14ac:dyDescent="0.2">
      <c r="A697">
        <v>696</v>
      </c>
      <c r="B697">
        <v>101</v>
      </c>
      <c r="C697">
        <v>1</v>
      </c>
      <c r="D697" t="str">
        <f>HLOOKUP(Dados!C697,'Variáveis e códigos'!$C$4:$F$5,2,FALSE)</f>
        <v>Masculino</v>
      </c>
      <c r="E697">
        <v>6</v>
      </c>
      <c r="F697">
        <v>1</v>
      </c>
      <c r="G697">
        <v>2</v>
      </c>
      <c r="H697">
        <v>2</v>
      </c>
      <c r="I697">
        <v>1</v>
      </c>
      <c r="J697">
        <v>2</v>
      </c>
      <c r="K697">
        <v>1</v>
      </c>
      <c r="L697">
        <v>1</v>
      </c>
      <c r="M697">
        <v>1</v>
      </c>
      <c r="N697">
        <v>10</v>
      </c>
    </row>
    <row r="698" spans="1:14" x14ac:dyDescent="0.2">
      <c r="A698">
        <v>697</v>
      </c>
      <c r="B698">
        <v>101</v>
      </c>
      <c r="C698">
        <v>1</v>
      </c>
      <c r="D698" t="str">
        <f>HLOOKUP(Dados!C698,'Variáveis e códigos'!$C$4:$F$5,2,FALSE)</f>
        <v>Masculino</v>
      </c>
      <c r="E698">
        <v>6</v>
      </c>
      <c r="F698">
        <v>1</v>
      </c>
      <c r="G698">
        <v>2</v>
      </c>
      <c r="H698">
        <v>2</v>
      </c>
      <c r="I698">
        <v>2</v>
      </c>
      <c r="J698">
        <v>1</v>
      </c>
      <c r="K698">
        <v>1</v>
      </c>
      <c r="L698">
        <v>0</v>
      </c>
      <c r="M698">
        <v>0</v>
      </c>
      <c r="N698">
        <v>8</v>
      </c>
    </row>
    <row r="699" spans="1:14" x14ac:dyDescent="0.2">
      <c r="A699">
        <v>698</v>
      </c>
      <c r="B699">
        <v>101</v>
      </c>
      <c r="C699">
        <v>2</v>
      </c>
      <c r="D699" t="str">
        <f>HLOOKUP(Dados!C699,'Variáveis e códigos'!$C$4:$F$5,2,FALSE)</f>
        <v>Feminino</v>
      </c>
      <c r="E699">
        <v>9</v>
      </c>
      <c r="F699">
        <v>1</v>
      </c>
      <c r="G699">
        <v>1</v>
      </c>
      <c r="H699">
        <v>0</v>
      </c>
      <c r="I699">
        <v>0</v>
      </c>
      <c r="J699">
        <v>2</v>
      </c>
      <c r="K699">
        <v>0</v>
      </c>
      <c r="L699">
        <v>0</v>
      </c>
      <c r="M699">
        <v>0</v>
      </c>
      <c r="N699">
        <v>8</v>
      </c>
    </row>
    <row r="700" spans="1:14" x14ac:dyDescent="0.2">
      <c r="A700">
        <v>699</v>
      </c>
      <c r="B700">
        <v>101</v>
      </c>
      <c r="C700">
        <v>1</v>
      </c>
      <c r="D700" t="str">
        <f>HLOOKUP(Dados!C700,'Variáveis e códigos'!$C$4:$F$5,2,FALSE)</f>
        <v>Masculino</v>
      </c>
      <c r="E700">
        <v>9</v>
      </c>
      <c r="F700">
        <v>1</v>
      </c>
      <c r="G700">
        <v>1</v>
      </c>
      <c r="H700">
        <v>0</v>
      </c>
      <c r="I700">
        <v>0</v>
      </c>
      <c r="J700">
        <v>2</v>
      </c>
      <c r="K700">
        <v>0</v>
      </c>
      <c r="L700">
        <v>0</v>
      </c>
      <c r="M700">
        <v>1</v>
      </c>
      <c r="N700">
        <v>10</v>
      </c>
    </row>
    <row r="701" spans="1:14" x14ac:dyDescent="0.2">
      <c r="A701">
        <v>700</v>
      </c>
      <c r="B701">
        <v>101</v>
      </c>
      <c r="C701">
        <v>2</v>
      </c>
      <c r="D701" t="str">
        <f>HLOOKUP(Dados!C701,'Variáveis e códigos'!$C$4:$F$5,2,FALSE)</f>
        <v>Feminino</v>
      </c>
      <c r="E701">
        <v>8</v>
      </c>
      <c r="F701">
        <v>1</v>
      </c>
      <c r="G701">
        <v>3</v>
      </c>
      <c r="H701">
        <v>1</v>
      </c>
      <c r="I701">
        <v>0</v>
      </c>
      <c r="J701">
        <v>2</v>
      </c>
      <c r="K701">
        <v>0</v>
      </c>
      <c r="L701">
        <v>0</v>
      </c>
      <c r="M701">
        <v>0</v>
      </c>
      <c r="N701">
        <v>9</v>
      </c>
    </row>
    <row r="702" spans="1:14" x14ac:dyDescent="0.2">
      <c r="A702">
        <v>701</v>
      </c>
      <c r="B702">
        <v>101</v>
      </c>
      <c r="C702">
        <v>1</v>
      </c>
      <c r="D702" t="str">
        <f>HLOOKUP(Dados!C702,'Variáveis e códigos'!$C$4:$F$5,2,FALSE)</f>
        <v>Masculino</v>
      </c>
      <c r="E702">
        <v>7</v>
      </c>
      <c r="F702">
        <v>1</v>
      </c>
      <c r="G702">
        <v>3</v>
      </c>
      <c r="H702">
        <v>0</v>
      </c>
      <c r="I702">
        <v>1</v>
      </c>
      <c r="J702">
        <v>2</v>
      </c>
      <c r="K702">
        <v>0</v>
      </c>
      <c r="L702">
        <v>0</v>
      </c>
      <c r="M702">
        <v>0</v>
      </c>
      <c r="N702">
        <v>9</v>
      </c>
    </row>
    <row r="703" spans="1:14" x14ac:dyDescent="0.2">
      <c r="A703">
        <v>702</v>
      </c>
      <c r="B703">
        <v>101</v>
      </c>
      <c r="C703">
        <v>2</v>
      </c>
      <c r="D703" t="str">
        <f>HLOOKUP(Dados!C703,'Variáveis e códigos'!$C$4:$F$5,2,FALSE)</f>
        <v>Feminino</v>
      </c>
      <c r="E703">
        <v>8</v>
      </c>
      <c r="F703">
        <v>1</v>
      </c>
      <c r="G703">
        <v>3</v>
      </c>
      <c r="H703">
        <v>0</v>
      </c>
      <c r="I703">
        <v>0</v>
      </c>
      <c r="J703">
        <v>2</v>
      </c>
      <c r="K703">
        <v>0</v>
      </c>
      <c r="L703">
        <v>0</v>
      </c>
      <c r="M703">
        <v>0</v>
      </c>
      <c r="N703">
        <v>7</v>
      </c>
    </row>
    <row r="704" spans="1:14" x14ac:dyDescent="0.2">
      <c r="A704">
        <v>703</v>
      </c>
      <c r="B704">
        <v>101</v>
      </c>
      <c r="C704">
        <v>2</v>
      </c>
      <c r="D704" t="str">
        <f>HLOOKUP(Dados!C704,'Variáveis e códigos'!$C$4:$F$5,2,FALSE)</f>
        <v>Feminino</v>
      </c>
      <c r="E704">
        <v>7</v>
      </c>
      <c r="F704">
        <v>1</v>
      </c>
      <c r="G704">
        <v>3</v>
      </c>
      <c r="H704">
        <v>1</v>
      </c>
      <c r="I704">
        <v>0</v>
      </c>
      <c r="J704">
        <v>2</v>
      </c>
      <c r="K704">
        <v>0</v>
      </c>
      <c r="L704">
        <v>0</v>
      </c>
      <c r="M704">
        <v>1</v>
      </c>
      <c r="N704">
        <v>8</v>
      </c>
    </row>
    <row r="705" spans="1:14" x14ac:dyDescent="0.2">
      <c r="A705">
        <v>704</v>
      </c>
      <c r="B705">
        <v>101</v>
      </c>
      <c r="C705">
        <v>1</v>
      </c>
      <c r="D705" t="str">
        <f>HLOOKUP(Dados!C705,'Variáveis e códigos'!$C$4:$F$5,2,FALSE)</f>
        <v>Masculino</v>
      </c>
      <c r="E705">
        <v>9</v>
      </c>
      <c r="F705">
        <v>1</v>
      </c>
      <c r="G705">
        <v>1</v>
      </c>
      <c r="H705">
        <v>0</v>
      </c>
      <c r="I705">
        <v>0</v>
      </c>
      <c r="J705">
        <v>2</v>
      </c>
      <c r="K705">
        <v>0</v>
      </c>
      <c r="L705">
        <v>0</v>
      </c>
      <c r="M705">
        <v>1</v>
      </c>
      <c r="N705">
        <v>9</v>
      </c>
    </row>
    <row r="706" spans="1:14" x14ac:dyDescent="0.2">
      <c r="A706">
        <v>705</v>
      </c>
      <c r="B706">
        <v>101</v>
      </c>
      <c r="C706">
        <v>2</v>
      </c>
      <c r="D706" t="str">
        <f>HLOOKUP(Dados!C706,'Variáveis e códigos'!$C$4:$F$5,2,FALSE)</f>
        <v>Feminino</v>
      </c>
      <c r="E706">
        <v>6</v>
      </c>
      <c r="F706">
        <v>1</v>
      </c>
      <c r="G706">
        <v>99</v>
      </c>
      <c r="H706">
        <v>0</v>
      </c>
      <c r="I706">
        <v>0</v>
      </c>
      <c r="J706">
        <v>2</v>
      </c>
      <c r="K706">
        <v>0</v>
      </c>
      <c r="L706">
        <v>0</v>
      </c>
      <c r="M706">
        <v>0</v>
      </c>
      <c r="N706">
        <v>9</v>
      </c>
    </row>
    <row r="707" spans="1:14" x14ac:dyDescent="0.2">
      <c r="A707">
        <v>706</v>
      </c>
      <c r="B707">
        <v>101</v>
      </c>
      <c r="C707">
        <v>2</v>
      </c>
      <c r="D707" t="str">
        <f>HLOOKUP(Dados!C707,'Variáveis e códigos'!$C$4:$F$5,2,FALSE)</f>
        <v>Feminino</v>
      </c>
      <c r="E707">
        <v>9</v>
      </c>
      <c r="F707">
        <v>1</v>
      </c>
      <c r="G707">
        <v>2</v>
      </c>
      <c r="H707">
        <v>1</v>
      </c>
      <c r="I707">
        <v>1</v>
      </c>
      <c r="J707">
        <v>2</v>
      </c>
      <c r="K707">
        <v>1</v>
      </c>
      <c r="L707">
        <v>1</v>
      </c>
      <c r="M707">
        <v>0</v>
      </c>
      <c r="N707">
        <v>99</v>
      </c>
    </row>
    <row r="708" spans="1:14" x14ac:dyDescent="0.2">
      <c r="A708">
        <v>707</v>
      </c>
      <c r="B708">
        <v>101</v>
      </c>
      <c r="C708">
        <v>1</v>
      </c>
      <c r="D708" t="str">
        <f>HLOOKUP(Dados!C708,'Variáveis e códigos'!$C$4:$F$5,2,FALSE)</f>
        <v>Masculino</v>
      </c>
      <c r="E708">
        <v>7</v>
      </c>
      <c r="F708">
        <v>1</v>
      </c>
      <c r="G708">
        <v>2</v>
      </c>
      <c r="H708">
        <v>0</v>
      </c>
      <c r="I708">
        <v>1</v>
      </c>
      <c r="J708">
        <v>1</v>
      </c>
      <c r="K708">
        <v>0</v>
      </c>
      <c r="L708">
        <v>0</v>
      </c>
      <c r="M708">
        <v>1</v>
      </c>
      <c r="N708">
        <v>9</v>
      </c>
    </row>
    <row r="709" spans="1:14" x14ac:dyDescent="0.2">
      <c r="A709">
        <v>708</v>
      </c>
      <c r="B709">
        <v>101</v>
      </c>
      <c r="C709">
        <v>2</v>
      </c>
      <c r="D709" t="str">
        <f>HLOOKUP(Dados!C709,'Variáveis e códigos'!$C$4:$F$5,2,FALSE)</f>
        <v>Feminino</v>
      </c>
      <c r="E709">
        <v>8</v>
      </c>
      <c r="F709">
        <v>1</v>
      </c>
      <c r="G709">
        <v>2</v>
      </c>
      <c r="H709">
        <v>0</v>
      </c>
      <c r="I709">
        <v>0</v>
      </c>
      <c r="J709">
        <v>2</v>
      </c>
      <c r="K709">
        <v>0</v>
      </c>
      <c r="L709">
        <v>0</v>
      </c>
      <c r="M709">
        <v>2</v>
      </c>
      <c r="N709">
        <v>8</v>
      </c>
    </row>
    <row r="710" spans="1:14" x14ac:dyDescent="0.2">
      <c r="A710">
        <v>709</v>
      </c>
      <c r="B710">
        <v>101</v>
      </c>
      <c r="C710">
        <v>1</v>
      </c>
      <c r="D710" t="str">
        <f>HLOOKUP(Dados!C710,'Variáveis e códigos'!$C$4:$F$5,2,FALSE)</f>
        <v>Masculino</v>
      </c>
      <c r="E710">
        <v>8</v>
      </c>
      <c r="F710">
        <v>1</v>
      </c>
      <c r="G710">
        <v>3</v>
      </c>
      <c r="H710">
        <v>0</v>
      </c>
      <c r="I710">
        <v>0</v>
      </c>
      <c r="J710">
        <v>2</v>
      </c>
      <c r="K710">
        <v>0</v>
      </c>
      <c r="L710">
        <v>2</v>
      </c>
      <c r="M710">
        <v>99</v>
      </c>
      <c r="N710">
        <v>8</v>
      </c>
    </row>
    <row r="711" spans="1:14" x14ac:dyDescent="0.2">
      <c r="A711">
        <v>710</v>
      </c>
      <c r="B711">
        <v>101</v>
      </c>
      <c r="C711">
        <v>2</v>
      </c>
      <c r="D711" t="str">
        <f>HLOOKUP(Dados!C711,'Variáveis e códigos'!$C$4:$F$5,2,FALSE)</f>
        <v>Feminino</v>
      </c>
      <c r="E711">
        <v>9</v>
      </c>
      <c r="F711">
        <v>1</v>
      </c>
      <c r="G711">
        <v>1</v>
      </c>
      <c r="H711">
        <v>1</v>
      </c>
      <c r="I711">
        <v>0</v>
      </c>
      <c r="J711">
        <v>2</v>
      </c>
      <c r="K711">
        <v>0</v>
      </c>
      <c r="L711">
        <v>0</v>
      </c>
      <c r="M711">
        <v>0</v>
      </c>
      <c r="N711">
        <v>9</v>
      </c>
    </row>
    <row r="712" spans="1:14" x14ac:dyDescent="0.2">
      <c r="A712">
        <v>711</v>
      </c>
      <c r="B712">
        <v>101</v>
      </c>
      <c r="C712">
        <v>1</v>
      </c>
      <c r="D712" t="str">
        <f>HLOOKUP(Dados!C712,'Variáveis e códigos'!$C$4:$F$5,2,FALSE)</f>
        <v>Masculino</v>
      </c>
      <c r="E712">
        <v>9</v>
      </c>
      <c r="F712">
        <v>1</v>
      </c>
      <c r="G712">
        <v>1</v>
      </c>
      <c r="H712">
        <v>1</v>
      </c>
      <c r="I712">
        <v>0</v>
      </c>
      <c r="J712">
        <v>1</v>
      </c>
      <c r="K712">
        <v>0</v>
      </c>
      <c r="L712">
        <v>0</v>
      </c>
      <c r="M712">
        <v>0</v>
      </c>
      <c r="N712">
        <v>8</v>
      </c>
    </row>
    <row r="713" spans="1:14" x14ac:dyDescent="0.2">
      <c r="A713">
        <v>712</v>
      </c>
      <c r="B713">
        <v>101</v>
      </c>
      <c r="C713">
        <v>1</v>
      </c>
      <c r="D713" t="str">
        <f>HLOOKUP(Dados!C713,'Variáveis e códigos'!$C$4:$F$5,2,FALSE)</f>
        <v>Masculino</v>
      </c>
      <c r="E713">
        <v>10</v>
      </c>
      <c r="F713">
        <v>1</v>
      </c>
      <c r="G713">
        <v>1</v>
      </c>
      <c r="H713">
        <v>2</v>
      </c>
      <c r="I713">
        <v>2</v>
      </c>
      <c r="J713">
        <v>2</v>
      </c>
      <c r="K713">
        <v>1</v>
      </c>
      <c r="L713">
        <v>1</v>
      </c>
      <c r="M713">
        <v>1</v>
      </c>
      <c r="N713">
        <v>99</v>
      </c>
    </row>
    <row r="714" spans="1:14" x14ac:dyDescent="0.2">
      <c r="A714">
        <v>713</v>
      </c>
      <c r="B714">
        <v>101</v>
      </c>
      <c r="C714">
        <v>2</v>
      </c>
      <c r="D714" t="str">
        <f>HLOOKUP(Dados!C714,'Variáveis e códigos'!$C$4:$F$5,2,FALSE)</f>
        <v>Feminino</v>
      </c>
      <c r="E714">
        <v>8</v>
      </c>
      <c r="F714">
        <v>1</v>
      </c>
      <c r="G714">
        <v>1</v>
      </c>
      <c r="H714">
        <v>1</v>
      </c>
      <c r="I714">
        <v>0</v>
      </c>
      <c r="J714">
        <v>2</v>
      </c>
      <c r="K714">
        <v>0</v>
      </c>
      <c r="L714">
        <v>0</v>
      </c>
      <c r="M714">
        <v>0</v>
      </c>
      <c r="N714">
        <v>10</v>
      </c>
    </row>
    <row r="715" spans="1:14" x14ac:dyDescent="0.2">
      <c r="A715">
        <v>714</v>
      </c>
      <c r="B715">
        <v>101</v>
      </c>
      <c r="C715">
        <v>1</v>
      </c>
      <c r="D715" t="str">
        <f>HLOOKUP(Dados!C715,'Variáveis e códigos'!$C$4:$F$5,2,FALSE)</f>
        <v>Masculino</v>
      </c>
      <c r="E715">
        <v>8</v>
      </c>
      <c r="F715">
        <v>1</v>
      </c>
      <c r="G715">
        <v>3</v>
      </c>
      <c r="H715">
        <v>1</v>
      </c>
      <c r="I715">
        <v>0</v>
      </c>
      <c r="J715">
        <v>2</v>
      </c>
      <c r="K715">
        <v>0</v>
      </c>
      <c r="L715">
        <v>0</v>
      </c>
      <c r="M715">
        <v>1</v>
      </c>
      <c r="N715">
        <v>8</v>
      </c>
    </row>
    <row r="716" spans="1:14" x14ac:dyDescent="0.2">
      <c r="A716">
        <v>715</v>
      </c>
      <c r="B716">
        <v>101</v>
      </c>
      <c r="C716">
        <v>1</v>
      </c>
      <c r="D716" t="str">
        <f>HLOOKUP(Dados!C716,'Variáveis e códigos'!$C$4:$F$5,2,FALSE)</f>
        <v>Masculino</v>
      </c>
      <c r="E716">
        <v>7</v>
      </c>
      <c r="F716">
        <v>1</v>
      </c>
      <c r="G716">
        <v>3</v>
      </c>
      <c r="H716">
        <v>2</v>
      </c>
      <c r="I716">
        <v>0</v>
      </c>
      <c r="J716">
        <v>2</v>
      </c>
      <c r="K716">
        <v>0</v>
      </c>
      <c r="L716">
        <v>0</v>
      </c>
      <c r="M716">
        <v>1</v>
      </c>
      <c r="N716">
        <v>8</v>
      </c>
    </row>
    <row r="717" spans="1:14" x14ac:dyDescent="0.2">
      <c r="A717">
        <v>716</v>
      </c>
      <c r="B717">
        <v>101</v>
      </c>
      <c r="C717">
        <v>1</v>
      </c>
      <c r="D717" t="str">
        <f>HLOOKUP(Dados!C717,'Variáveis e códigos'!$C$4:$F$5,2,FALSE)</f>
        <v>Masculino</v>
      </c>
      <c r="E717">
        <v>8</v>
      </c>
      <c r="F717">
        <v>1</v>
      </c>
      <c r="G717">
        <v>2</v>
      </c>
      <c r="H717">
        <v>0</v>
      </c>
      <c r="I717">
        <v>0</v>
      </c>
      <c r="J717">
        <v>2</v>
      </c>
      <c r="K717">
        <v>0</v>
      </c>
      <c r="L717">
        <v>0</v>
      </c>
      <c r="M717">
        <v>0</v>
      </c>
      <c r="N717">
        <v>9</v>
      </c>
    </row>
    <row r="718" spans="1:14" x14ac:dyDescent="0.2">
      <c r="A718">
        <v>717</v>
      </c>
      <c r="B718">
        <v>101</v>
      </c>
      <c r="C718">
        <v>2</v>
      </c>
      <c r="D718" t="str">
        <f>HLOOKUP(Dados!C718,'Variáveis e códigos'!$C$4:$F$5,2,FALSE)</f>
        <v>Feminino</v>
      </c>
      <c r="E718">
        <v>7</v>
      </c>
      <c r="F718">
        <v>1</v>
      </c>
      <c r="G718">
        <v>1</v>
      </c>
      <c r="H718">
        <v>2</v>
      </c>
      <c r="I718">
        <v>0</v>
      </c>
      <c r="J718">
        <v>1</v>
      </c>
      <c r="K718">
        <v>0</v>
      </c>
      <c r="L718">
        <v>0</v>
      </c>
      <c r="M718">
        <v>1</v>
      </c>
      <c r="N718">
        <v>9</v>
      </c>
    </row>
    <row r="719" spans="1:14" x14ac:dyDescent="0.2">
      <c r="A719">
        <v>718</v>
      </c>
      <c r="B719">
        <v>101</v>
      </c>
      <c r="C719">
        <v>1</v>
      </c>
      <c r="D719" t="str">
        <f>HLOOKUP(Dados!C719,'Variáveis e códigos'!$C$4:$F$5,2,FALSE)</f>
        <v>Masculino</v>
      </c>
      <c r="E719">
        <v>7</v>
      </c>
      <c r="F719">
        <v>1</v>
      </c>
      <c r="G719">
        <v>3</v>
      </c>
      <c r="H719">
        <v>0</v>
      </c>
      <c r="I719">
        <v>0</v>
      </c>
      <c r="J719">
        <v>2</v>
      </c>
      <c r="K719">
        <v>0</v>
      </c>
      <c r="L719">
        <v>0</v>
      </c>
      <c r="M719">
        <v>1</v>
      </c>
      <c r="N719">
        <v>8</v>
      </c>
    </row>
    <row r="720" spans="1:14" x14ac:dyDescent="0.2">
      <c r="A720">
        <v>719</v>
      </c>
      <c r="B720">
        <v>101</v>
      </c>
      <c r="C720">
        <v>2</v>
      </c>
      <c r="D720" t="str">
        <f>HLOOKUP(Dados!C720,'Variáveis e códigos'!$C$4:$F$5,2,FALSE)</f>
        <v>Feminino</v>
      </c>
      <c r="E720">
        <v>7</v>
      </c>
      <c r="F720">
        <v>1</v>
      </c>
      <c r="G720">
        <v>1</v>
      </c>
      <c r="H720">
        <v>2</v>
      </c>
      <c r="I720">
        <v>0</v>
      </c>
      <c r="J720">
        <v>2</v>
      </c>
      <c r="K720">
        <v>0</v>
      </c>
      <c r="L720">
        <v>1</v>
      </c>
      <c r="M720">
        <v>1</v>
      </c>
      <c r="N720">
        <v>8</v>
      </c>
    </row>
    <row r="721" spans="1:14" x14ac:dyDescent="0.2">
      <c r="A721">
        <v>720</v>
      </c>
      <c r="B721">
        <v>101</v>
      </c>
      <c r="C721">
        <v>1</v>
      </c>
      <c r="D721" t="str">
        <f>HLOOKUP(Dados!C721,'Variáveis e códigos'!$C$4:$F$5,2,FALSE)</f>
        <v>Masculino</v>
      </c>
      <c r="E721">
        <v>8</v>
      </c>
      <c r="F721">
        <v>1</v>
      </c>
      <c r="G721">
        <v>3</v>
      </c>
      <c r="H721">
        <v>2</v>
      </c>
      <c r="I721">
        <v>2</v>
      </c>
      <c r="J721">
        <v>0</v>
      </c>
      <c r="K721">
        <v>1</v>
      </c>
      <c r="L721">
        <v>1</v>
      </c>
      <c r="M721">
        <v>0</v>
      </c>
      <c r="N721">
        <v>10</v>
      </c>
    </row>
    <row r="722" spans="1:14" x14ac:dyDescent="0.2">
      <c r="A722">
        <v>721</v>
      </c>
      <c r="B722">
        <v>101</v>
      </c>
      <c r="C722">
        <v>2</v>
      </c>
      <c r="D722" t="str">
        <f>HLOOKUP(Dados!C722,'Variáveis e códigos'!$C$4:$F$5,2,FALSE)</f>
        <v>Feminino</v>
      </c>
      <c r="E722">
        <v>7</v>
      </c>
      <c r="F722">
        <v>1</v>
      </c>
      <c r="G722">
        <v>99</v>
      </c>
      <c r="H722">
        <v>0</v>
      </c>
      <c r="I722">
        <v>0</v>
      </c>
      <c r="J722">
        <v>2</v>
      </c>
      <c r="K722">
        <v>0</v>
      </c>
      <c r="L722">
        <v>0</v>
      </c>
      <c r="M722">
        <v>0</v>
      </c>
      <c r="N722">
        <v>8</v>
      </c>
    </row>
    <row r="723" spans="1:14" x14ac:dyDescent="0.2">
      <c r="A723">
        <v>722</v>
      </c>
      <c r="B723">
        <v>101</v>
      </c>
      <c r="C723">
        <v>1</v>
      </c>
      <c r="D723" t="str">
        <f>HLOOKUP(Dados!C723,'Variáveis e códigos'!$C$4:$F$5,2,FALSE)</f>
        <v>Masculino</v>
      </c>
      <c r="E723">
        <v>7</v>
      </c>
      <c r="F723">
        <v>1</v>
      </c>
      <c r="G723">
        <v>1</v>
      </c>
      <c r="H723">
        <v>1</v>
      </c>
      <c r="I723">
        <v>0</v>
      </c>
      <c r="J723">
        <v>1</v>
      </c>
      <c r="K723">
        <v>0</v>
      </c>
      <c r="L723">
        <v>0</v>
      </c>
      <c r="M723">
        <v>1</v>
      </c>
      <c r="N723">
        <v>9</v>
      </c>
    </row>
    <row r="724" spans="1:14" x14ac:dyDescent="0.2">
      <c r="A724">
        <v>723</v>
      </c>
      <c r="B724">
        <v>101</v>
      </c>
      <c r="C724">
        <v>1</v>
      </c>
      <c r="D724" t="str">
        <f>HLOOKUP(Dados!C724,'Variáveis e códigos'!$C$4:$F$5,2,FALSE)</f>
        <v>Masculino</v>
      </c>
      <c r="E724">
        <v>8</v>
      </c>
      <c r="F724">
        <v>1</v>
      </c>
      <c r="G724">
        <v>3</v>
      </c>
      <c r="H724">
        <v>1</v>
      </c>
      <c r="I724">
        <v>0</v>
      </c>
      <c r="J724">
        <v>1</v>
      </c>
      <c r="K724">
        <v>0</v>
      </c>
      <c r="L724">
        <v>0</v>
      </c>
      <c r="M724">
        <v>0</v>
      </c>
      <c r="N724">
        <v>10</v>
      </c>
    </row>
    <row r="725" spans="1:14" x14ac:dyDescent="0.2">
      <c r="A725">
        <v>724</v>
      </c>
      <c r="B725">
        <v>101</v>
      </c>
      <c r="C725">
        <v>1</v>
      </c>
      <c r="D725" t="str">
        <f>HLOOKUP(Dados!C725,'Variáveis e códigos'!$C$4:$F$5,2,FALSE)</f>
        <v>Masculino</v>
      </c>
      <c r="E725">
        <v>7</v>
      </c>
      <c r="F725">
        <v>1</v>
      </c>
      <c r="G725">
        <v>2</v>
      </c>
      <c r="H725">
        <v>2</v>
      </c>
      <c r="I725">
        <v>1</v>
      </c>
      <c r="J725">
        <v>1</v>
      </c>
      <c r="K725">
        <v>1</v>
      </c>
      <c r="L725">
        <v>0</v>
      </c>
      <c r="M725">
        <v>2</v>
      </c>
      <c r="N725">
        <v>8</v>
      </c>
    </row>
    <row r="726" spans="1:14" x14ac:dyDescent="0.2">
      <c r="A726">
        <v>725</v>
      </c>
      <c r="B726">
        <v>101</v>
      </c>
      <c r="C726">
        <v>2</v>
      </c>
      <c r="D726" t="str">
        <f>HLOOKUP(Dados!C726,'Variáveis e códigos'!$C$4:$F$5,2,FALSE)</f>
        <v>Feminino</v>
      </c>
      <c r="E726">
        <v>6</v>
      </c>
      <c r="F726">
        <v>1</v>
      </c>
      <c r="G726">
        <v>1</v>
      </c>
      <c r="H726">
        <v>0</v>
      </c>
      <c r="I726">
        <v>0</v>
      </c>
      <c r="J726">
        <v>2</v>
      </c>
      <c r="K726">
        <v>0</v>
      </c>
      <c r="L726">
        <v>0</v>
      </c>
      <c r="M726">
        <v>0</v>
      </c>
      <c r="N726">
        <v>9</v>
      </c>
    </row>
    <row r="727" spans="1:14" x14ac:dyDescent="0.2">
      <c r="A727">
        <v>726</v>
      </c>
      <c r="B727">
        <v>101</v>
      </c>
      <c r="C727">
        <v>1</v>
      </c>
      <c r="D727" t="str">
        <f>HLOOKUP(Dados!C727,'Variáveis e códigos'!$C$4:$F$5,2,FALSE)</f>
        <v>Masculino</v>
      </c>
      <c r="E727">
        <v>9</v>
      </c>
      <c r="F727">
        <v>1</v>
      </c>
      <c r="G727">
        <v>1</v>
      </c>
      <c r="H727">
        <v>1</v>
      </c>
      <c r="I727">
        <v>1</v>
      </c>
      <c r="J727">
        <v>2</v>
      </c>
      <c r="K727">
        <v>0</v>
      </c>
      <c r="L727">
        <v>0</v>
      </c>
      <c r="M727">
        <v>0</v>
      </c>
      <c r="N727">
        <v>8</v>
      </c>
    </row>
    <row r="728" spans="1:14" x14ac:dyDescent="0.2">
      <c r="A728">
        <v>727</v>
      </c>
      <c r="B728">
        <v>101</v>
      </c>
      <c r="C728">
        <v>2</v>
      </c>
      <c r="D728" t="str">
        <f>HLOOKUP(Dados!C728,'Variáveis e códigos'!$C$4:$F$5,2,FALSE)</f>
        <v>Feminino</v>
      </c>
      <c r="E728">
        <v>9</v>
      </c>
      <c r="F728">
        <v>1</v>
      </c>
      <c r="G728">
        <v>1</v>
      </c>
      <c r="H728">
        <v>0</v>
      </c>
      <c r="I728">
        <v>0</v>
      </c>
      <c r="J728">
        <v>1</v>
      </c>
      <c r="K728">
        <v>0</v>
      </c>
      <c r="L728">
        <v>1</v>
      </c>
      <c r="M728">
        <v>0</v>
      </c>
      <c r="N728">
        <v>8</v>
      </c>
    </row>
    <row r="729" spans="1:14" x14ac:dyDescent="0.2">
      <c r="A729">
        <v>728</v>
      </c>
      <c r="B729">
        <v>101</v>
      </c>
      <c r="C729">
        <v>1</v>
      </c>
      <c r="D729" t="str">
        <f>HLOOKUP(Dados!C729,'Variáveis e códigos'!$C$4:$F$5,2,FALSE)</f>
        <v>Masculino</v>
      </c>
      <c r="E729">
        <v>7</v>
      </c>
      <c r="F729">
        <v>1</v>
      </c>
      <c r="G729">
        <v>3</v>
      </c>
      <c r="H729">
        <v>2</v>
      </c>
      <c r="I729">
        <v>2</v>
      </c>
      <c r="J729">
        <v>1</v>
      </c>
      <c r="K729">
        <v>2</v>
      </c>
      <c r="L729">
        <v>2</v>
      </c>
      <c r="M729">
        <v>1</v>
      </c>
      <c r="N729">
        <v>8</v>
      </c>
    </row>
    <row r="730" spans="1:14" x14ac:dyDescent="0.2">
      <c r="A730">
        <v>729</v>
      </c>
      <c r="B730">
        <v>101</v>
      </c>
      <c r="C730">
        <v>1</v>
      </c>
      <c r="D730" t="str">
        <f>HLOOKUP(Dados!C730,'Variáveis e códigos'!$C$4:$F$5,2,FALSE)</f>
        <v>Masculino</v>
      </c>
      <c r="E730">
        <v>8</v>
      </c>
      <c r="F730">
        <v>1</v>
      </c>
      <c r="G730">
        <v>1</v>
      </c>
      <c r="H730">
        <v>1</v>
      </c>
      <c r="I730">
        <v>0</v>
      </c>
      <c r="J730">
        <v>2</v>
      </c>
      <c r="K730">
        <v>0</v>
      </c>
      <c r="L730">
        <v>0</v>
      </c>
      <c r="M730">
        <v>0</v>
      </c>
      <c r="N730">
        <v>9</v>
      </c>
    </row>
    <row r="731" spans="1:14" x14ac:dyDescent="0.2">
      <c r="A731">
        <v>730</v>
      </c>
      <c r="B731">
        <v>101</v>
      </c>
      <c r="C731">
        <v>1</v>
      </c>
      <c r="D731" t="str">
        <f>HLOOKUP(Dados!C731,'Variáveis e códigos'!$C$4:$F$5,2,FALSE)</f>
        <v>Masculino</v>
      </c>
      <c r="E731">
        <v>10</v>
      </c>
      <c r="F731">
        <v>1</v>
      </c>
      <c r="G731">
        <v>99</v>
      </c>
      <c r="H731">
        <v>99</v>
      </c>
      <c r="I731">
        <v>99</v>
      </c>
      <c r="J731">
        <v>99</v>
      </c>
      <c r="K731">
        <v>99</v>
      </c>
      <c r="L731">
        <v>99</v>
      </c>
      <c r="M731">
        <v>99</v>
      </c>
      <c r="N731">
        <v>8</v>
      </c>
    </row>
    <row r="732" spans="1:14" x14ac:dyDescent="0.2">
      <c r="A732">
        <v>731</v>
      </c>
      <c r="B732">
        <v>101</v>
      </c>
      <c r="C732">
        <v>1</v>
      </c>
      <c r="D732" t="str">
        <f>HLOOKUP(Dados!C732,'Variáveis e códigos'!$C$4:$F$5,2,FALSE)</f>
        <v>Masculino</v>
      </c>
      <c r="E732">
        <v>5</v>
      </c>
      <c r="F732">
        <v>0</v>
      </c>
      <c r="G732">
        <v>2</v>
      </c>
      <c r="H732">
        <v>2</v>
      </c>
      <c r="I732">
        <v>1</v>
      </c>
      <c r="J732">
        <v>0</v>
      </c>
      <c r="K732">
        <v>0</v>
      </c>
      <c r="L732">
        <v>0</v>
      </c>
      <c r="M732">
        <v>0</v>
      </c>
      <c r="N732">
        <v>9</v>
      </c>
    </row>
    <row r="733" spans="1:14" x14ac:dyDescent="0.2">
      <c r="A733">
        <v>732</v>
      </c>
      <c r="B733">
        <v>101</v>
      </c>
      <c r="C733">
        <v>2</v>
      </c>
      <c r="D733" t="str">
        <f>HLOOKUP(Dados!C733,'Variáveis e códigos'!$C$4:$F$5,2,FALSE)</f>
        <v>Feminino</v>
      </c>
      <c r="E733">
        <v>7</v>
      </c>
      <c r="F733">
        <v>1</v>
      </c>
      <c r="G733">
        <v>3</v>
      </c>
      <c r="H733">
        <v>0</v>
      </c>
      <c r="I733">
        <v>0</v>
      </c>
      <c r="J733">
        <v>2</v>
      </c>
      <c r="K733">
        <v>0</v>
      </c>
      <c r="L733">
        <v>0</v>
      </c>
      <c r="M733">
        <v>0</v>
      </c>
      <c r="N733">
        <v>8</v>
      </c>
    </row>
    <row r="734" spans="1:14" x14ac:dyDescent="0.2">
      <c r="A734">
        <v>733</v>
      </c>
      <c r="B734">
        <v>101</v>
      </c>
      <c r="C734">
        <v>2</v>
      </c>
      <c r="D734" t="str">
        <f>HLOOKUP(Dados!C734,'Variáveis e códigos'!$C$4:$F$5,2,FALSE)</f>
        <v>Feminino</v>
      </c>
      <c r="E734">
        <v>9</v>
      </c>
      <c r="F734">
        <v>1</v>
      </c>
      <c r="G734">
        <v>2</v>
      </c>
      <c r="H734">
        <v>0</v>
      </c>
      <c r="I734">
        <v>1</v>
      </c>
      <c r="J734">
        <v>2</v>
      </c>
      <c r="K734">
        <v>0</v>
      </c>
      <c r="L734">
        <v>1</v>
      </c>
      <c r="M734">
        <v>0</v>
      </c>
      <c r="N734">
        <v>8</v>
      </c>
    </row>
    <row r="735" spans="1:14" x14ac:dyDescent="0.2">
      <c r="A735">
        <v>734</v>
      </c>
      <c r="B735">
        <v>101</v>
      </c>
      <c r="C735">
        <v>2</v>
      </c>
      <c r="D735" t="str">
        <f>HLOOKUP(Dados!C735,'Variáveis e códigos'!$C$4:$F$5,2,FALSE)</f>
        <v>Feminino</v>
      </c>
      <c r="E735">
        <v>8</v>
      </c>
      <c r="F735">
        <v>1</v>
      </c>
      <c r="G735">
        <v>1</v>
      </c>
      <c r="H735">
        <v>0</v>
      </c>
      <c r="I735">
        <v>0</v>
      </c>
      <c r="J735">
        <v>2</v>
      </c>
      <c r="K735">
        <v>99</v>
      </c>
      <c r="L735">
        <v>1</v>
      </c>
      <c r="M735">
        <v>0</v>
      </c>
      <c r="N735">
        <v>9</v>
      </c>
    </row>
    <row r="736" spans="1:14" x14ac:dyDescent="0.2">
      <c r="A736">
        <v>735</v>
      </c>
      <c r="B736">
        <v>101</v>
      </c>
      <c r="C736">
        <v>2</v>
      </c>
      <c r="D736" t="str">
        <f>HLOOKUP(Dados!C736,'Variáveis e códigos'!$C$4:$F$5,2,FALSE)</f>
        <v>Feminino</v>
      </c>
      <c r="E736">
        <v>9</v>
      </c>
      <c r="F736">
        <v>1</v>
      </c>
      <c r="G736">
        <v>2</v>
      </c>
      <c r="H736">
        <v>1</v>
      </c>
      <c r="I736">
        <v>0</v>
      </c>
      <c r="J736">
        <v>2</v>
      </c>
      <c r="K736">
        <v>0</v>
      </c>
      <c r="L736">
        <v>2</v>
      </c>
      <c r="M736">
        <v>1</v>
      </c>
      <c r="N736">
        <v>99</v>
      </c>
    </row>
    <row r="737" spans="1:14" x14ac:dyDescent="0.2">
      <c r="A737">
        <v>736</v>
      </c>
      <c r="B737">
        <v>101</v>
      </c>
      <c r="C737">
        <v>1</v>
      </c>
      <c r="D737" t="str">
        <f>HLOOKUP(Dados!C737,'Variáveis e códigos'!$C$4:$F$5,2,FALSE)</f>
        <v>Masculino</v>
      </c>
      <c r="E737">
        <v>9</v>
      </c>
      <c r="F737">
        <v>1</v>
      </c>
      <c r="G737">
        <v>2</v>
      </c>
      <c r="H737">
        <v>1</v>
      </c>
      <c r="I737">
        <v>0</v>
      </c>
      <c r="J737">
        <v>2</v>
      </c>
      <c r="K737">
        <v>0</v>
      </c>
      <c r="L737">
        <v>0</v>
      </c>
      <c r="M737">
        <v>1</v>
      </c>
      <c r="N737">
        <v>8</v>
      </c>
    </row>
    <row r="738" spans="1:14" x14ac:dyDescent="0.2">
      <c r="A738">
        <v>737</v>
      </c>
      <c r="B738">
        <v>101</v>
      </c>
      <c r="C738">
        <v>2</v>
      </c>
      <c r="D738" t="str">
        <f>HLOOKUP(Dados!C738,'Variáveis e códigos'!$C$4:$F$5,2,FALSE)</f>
        <v>Feminino</v>
      </c>
      <c r="E738">
        <v>8</v>
      </c>
      <c r="F738">
        <v>1</v>
      </c>
      <c r="G738">
        <v>99</v>
      </c>
      <c r="H738">
        <v>0</v>
      </c>
      <c r="I738">
        <v>0</v>
      </c>
      <c r="J738">
        <v>2</v>
      </c>
      <c r="K738">
        <v>0</v>
      </c>
      <c r="L738">
        <v>0</v>
      </c>
      <c r="M738">
        <v>0</v>
      </c>
      <c r="N738">
        <v>8</v>
      </c>
    </row>
    <row r="739" spans="1:14" x14ac:dyDescent="0.2">
      <c r="A739">
        <v>738</v>
      </c>
      <c r="B739">
        <v>101</v>
      </c>
      <c r="C739">
        <v>1</v>
      </c>
      <c r="D739" t="str">
        <f>HLOOKUP(Dados!C739,'Variáveis e códigos'!$C$4:$F$5,2,FALSE)</f>
        <v>Masculino</v>
      </c>
      <c r="E739">
        <v>9</v>
      </c>
      <c r="F739">
        <v>1</v>
      </c>
      <c r="G739">
        <v>3</v>
      </c>
      <c r="H739">
        <v>0</v>
      </c>
      <c r="I739">
        <v>0</v>
      </c>
      <c r="J739">
        <v>2</v>
      </c>
      <c r="K739">
        <v>0</v>
      </c>
      <c r="L739">
        <v>0</v>
      </c>
      <c r="M739">
        <v>1</v>
      </c>
      <c r="N739">
        <v>8</v>
      </c>
    </row>
    <row r="740" spans="1:14" x14ac:dyDescent="0.2">
      <c r="A740">
        <v>739</v>
      </c>
      <c r="B740">
        <v>101</v>
      </c>
      <c r="C740">
        <v>2</v>
      </c>
      <c r="D740" t="str">
        <f>HLOOKUP(Dados!C740,'Variáveis e códigos'!$C$4:$F$5,2,FALSE)</f>
        <v>Feminino</v>
      </c>
      <c r="E740">
        <v>8</v>
      </c>
      <c r="F740">
        <v>1</v>
      </c>
      <c r="G740">
        <v>3</v>
      </c>
      <c r="H740">
        <v>0</v>
      </c>
      <c r="I740">
        <v>0</v>
      </c>
      <c r="J740">
        <v>0</v>
      </c>
      <c r="K740">
        <v>0</v>
      </c>
      <c r="L740">
        <v>0</v>
      </c>
      <c r="M740">
        <v>0</v>
      </c>
      <c r="N740">
        <v>8</v>
      </c>
    </row>
    <row r="741" spans="1:14" x14ac:dyDescent="0.2">
      <c r="A741">
        <v>740</v>
      </c>
      <c r="B741">
        <v>101</v>
      </c>
      <c r="C741">
        <v>2</v>
      </c>
      <c r="D741" t="str">
        <f>HLOOKUP(Dados!C741,'Variáveis e códigos'!$C$4:$F$5,2,FALSE)</f>
        <v>Feminino</v>
      </c>
      <c r="E741">
        <v>10</v>
      </c>
      <c r="F741">
        <v>1</v>
      </c>
      <c r="G741">
        <v>2</v>
      </c>
      <c r="H741">
        <v>1</v>
      </c>
      <c r="I741">
        <v>0</v>
      </c>
      <c r="J741">
        <v>2</v>
      </c>
      <c r="K741">
        <v>0</v>
      </c>
      <c r="L741">
        <v>0</v>
      </c>
      <c r="M741">
        <v>1</v>
      </c>
      <c r="N741">
        <v>7</v>
      </c>
    </row>
    <row r="742" spans="1:14" x14ac:dyDescent="0.2">
      <c r="A742">
        <v>741</v>
      </c>
      <c r="B742">
        <v>101</v>
      </c>
      <c r="C742">
        <v>1</v>
      </c>
      <c r="D742" t="str">
        <f>HLOOKUP(Dados!C742,'Variáveis e códigos'!$C$4:$F$5,2,FALSE)</f>
        <v>Masculino</v>
      </c>
      <c r="E742">
        <v>7</v>
      </c>
      <c r="F742">
        <v>1</v>
      </c>
      <c r="G742">
        <v>2</v>
      </c>
      <c r="H742">
        <v>2</v>
      </c>
      <c r="I742">
        <v>2</v>
      </c>
      <c r="J742">
        <v>0</v>
      </c>
      <c r="K742">
        <v>2</v>
      </c>
      <c r="L742">
        <v>0</v>
      </c>
      <c r="M742">
        <v>1</v>
      </c>
      <c r="N742">
        <v>8</v>
      </c>
    </row>
    <row r="743" spans="1:14" x14ac:dyDescent="0.2">
      <c r="A743">
        <v>742</v>
      </c>
      <c r="B743">
        <v>101</v>
      </c>
      <c r="C743">
        <v>1</v>
      </c>
      <c r="D743" t="str">
        <f>HLOOKUP(Dados!C743,'Variáveis e códigos'!$C$4:$F$5,2,FALSE)</f>
        <v>Masculino</v>
      </c>
      <c r="E743">
        <v>8</v>
      </c>
      <c r="F743">
        <v>1</v>
      </c>
      <c r="G743">
        <v>2</v>
      </c>
      <c r="H743">
        <v>1</v>
      </c>
      <c r="I743">
        <v>0</v>
      </c>
      <c r="J743">
        <v>2</v>
      </c>
      <c r="K743">
        <v>1</v>
      </c>
      <c r="L743">
        <v>0</v>
      </c>
      <c r="M743">
        <v>99</v>
      </c>
      <c r="N743">
        <v>9</v>
      </c>
    </row>
    <row r="744" spans="1:14" x14ac:dyDescent="0.2">
      <c r="A744">
        <v>743</v>
      </c>
      <c r="B744">
        <v>101</v>
      </c>
      <c r="C744">
        <v>1</v>
      </c>
      <c r="D744" t="str">
        <f>HLOOKUP(Dados!C744,'Variáveis e códigos'!$C$4:$F$5,2,FALSE)</f>
        <v>Masculino</v>
      </c>
      <c r="E744">
        <v>6</v>
      </c>
      <c r="F744">
        <v>1</v>
      </c>
      <c r="G744">
        <v>3</v>
      </c>
      <c r="H744">
        <v>0</v>
      </c>
      <c r="I744">
        <v>0</v>
      </c>
      <c r="J744">
        <v>2</v>
      </c>
      <c r="K744">
        <v>0</v>
      </c>
      <c r="L744">
        <v>0</v>
      </c>
      <c r="M744">
        <v>1</v>
      </c>
      <c r="N744">
        <v>10</v>
      </c>
    </row>
    <row r="745" spans="1:14" x14ac:dyDescent="0.2">
      <c r="A745">
        <v>744</v>
      </c>
      <c r="B745">
        <v>101</v>
      </c>
      <c r="C745">
        <v>2</v>
      </c>
      <c r="D745" t="str">
        <f>HLOOKUP(Dados!C745,'Variáveis e códigos'!$C$4:$F$5,2,FALSE)</f>
        <v>Feminino</v>
      </c>
      <c r="E745">
        <v>8</v>
      </c>
      <c r="F745">
        <v>1</v>
      </c>
      <c r="G745">
        <v>2</v>
      </c>
      <c r="H745">
        <v>0</v>
      </c>
      <c r="I745">
        <v>0</v>
      </c>
      <c r="J745">
        <v>2</v>
      </c>
      <c r="K745">
        <v>0</v>
      </c>
      <c r="L745">
        <v>2</v>
      </c>
      <c r="M745">
        <v>1</v>
      </c>
      <c r="N745">
        <v>10</v>
      </c>
    </row>
    <row r="746" spans="1:14" x14ac:dyDescent="0.2">
      <c r="A746">
        <v>745</v>
      </c>
      <c r="B746">
        <v>101</v>
      </c>
      <c r="C746">
        <v>2</v>
      </c>
      <c r="D746" t="str">
        <f>HLOOKUP(Dados!C746,'Variáveis e códigos'!$C$4:$F$5,2,FALSE)</f>
        <v>Feminino</v>
      </c>
      <c r="E746">
        <v>11</v>
      </c>
      <c r="F746">
        <v>1</v>
      </c>
      <c r="G746">
        <v>1</v>
      </c>
      <c r="H746">
        <v>1</v>
      </c>
      <c r="I746">
        <v>0</v>
      </c>
      <c r="J746">
        <v>2</v>
      </c>
      <c r="K746">
        <v>0</v>
      </c>
      <c r="L746">
        <v>1</v>
      </c>
      <c r="M746">
        <v>2</v>
      </c>
      <c r="N746">
        <v>9</v>
      </c>
    </row>
    <row r="747" spans="1:14" x14ac:dyDescent="0.2">
      <c r="A747">
        <v>746</v>
      </c>
      <c r="B747">
        <v>101</v>
      </c>
      <c r="C747">
        <v>1</v>
      </c>
      <c r="D747" t="str">
        <f>HLOOKUP(Dados!C747,'Variáveis e códigos'!$C$4:$F$5,2,FALSE)</f>
        <v>Masculino</v>
      </c>
      <c r="E747">
        <v>8</v>
      </c>
      <c r="F747">
        <v>1</v>
      </c>
      <c r="G747">
        <v>2</v>
      </c>
      <c r="H747">
        <v>2</v>
      </c>
      <c r="I747">
        <v>0</v>
      </c>
      <c r="J747">
        <v>2</v>
      </c>
      <c r="K747">
        <v>0</v>
      </c>
      <c r="L747">
        <v>0</v>
      </c>
      <c r="M747">
        <v>0</v>
      </c>
      <c r="N747">
        <v>8</v>
      </c>
    </row>
    <row r="748" spans="1:14" x14ac:dyDescent="0.2">
      <c r="A748">
        <v>747</v>
      </c>
      <c r="B748">
        <v>101</v>
      </c>
      <c r="C748">
        <v>1</v>
      </c>
      <c r="D748" t="str">
        <f>HLOOKUP(Dados!C748,'Variáveis e códigos'!$C$4:$F$5,2,FALSE)</f>
        <v>Masculino</v>
      </c>
      <c r="E748">
        <v>9</v>
      </c>
      <c r="F748">
        <v>1</v>
      </c>
      <c r="G748">
        <v>1</v>
      </c>
      <c r="H748">
        <v>1</v>
      </c>
      <c r="I748">
        <v>1</v>
      </c>
      <c r="J748">
        <v>2</v>
      </c>
      <c r="K748">
        <v>0</v>
      </c>
      <c r="L748">
        <v>1</v>
      </c>
      <c r="M748">
        <v>1</v>
      </c>
      <c r="N748">
        <v>9</v>
      </c>
    </row>
    <row r="749" spans="1:14" x14ac:dyDescent="0.2">
      <c r="A749">
        <v>748</v>
      </c>
      <c r="B749">
        <v>101</v>
      </c>
      <c r="C749">
        <v>2</v>
      </c>
      <c r="D749" t="str">
        <f>HLOOKUP(Dados!C749,'Variáveis e códigos'!$C$4:$F$5,2,FALSE)</f>
        <v>Feminino</v>
      </c>
      <c r="E749">
        <v>9</v>
      </c>
      <c r="F749">
        <v>1</v>
      </c>
      <c r="G749">
        <v>99</v>
      </c>
      <c r="H749">
        <v>0</v>
      </c>
      <c r="I749">
        <v>0</v>
      </c>
      <c r="J749">
        <v>2</v>
      </c>
      <c r="K749">
        <v>0</v>
      </c>
      <c r="L749">
        <v>0</v>
      </c>
      <c r="M749">
        <v>0</v>
      </c>
      <c r="N749">
        <v>8</v>
      </c>
    </row>
    <row r="750" spans="1:14" x14ac:dyDescent="0.2">
      <c r="A750">
        <v>749</v>
      </c>
      <c r="B750">
        <v>101</v>
      </c>
      <c r="C750">
        <v>2</v>
      </c>
      <c r="D750" t="str">
        <f>HLOOKUP(Dados!C750,'Variáveis e códigos'!$C$4:$F$5,2,FALSE)</f>
        <v>Feminino</v>
      </c>
      <c r="E750">
        <v>6</v>
      </c>
      <c r="F750">
        <v>1</v>
      </c>
      <c r="G750">
        <v>2</v>
      </c>
      <c r="H750">
        <v>2</v>
      </c>
      <c r="I750">
        <v>0</v>
      </c>
      <c r="J750">
        <v>1</v>
      </c>
      <c r="K750">
        <v>0</v>
      </c>
      <c r="L750">
        <v>0</v>
      </c>
      <c r="M750">
        <v>0</v>
      </c>
      <c r="N750">
        <v>8</v>
      </c>
    </row>
    <row r="751" spans="1:14" x14ac:dyDescent="0.2">
      <c r="A751">
        <v>750</v>
      </c>
      <c r="B751">
        <v>101</v>
      </c>
      <c r="C751">
        <v>1</v>
      </c>
      <c r="D751" t="str">
        <f>HLOOKUP(Dados!C751,'Variáveis e códigos'!$C$4:$F$5,2,FALSE)</f>
        <v>Masculino</v>
      </c>
      <c r="E751">
        <v>10</v>
      </c>
      <c r="F751">
        <v>1</v>
      </c>
      <c r="G751">
        <v>99</v>
      </c>
      <c r="H751">
        <v>1</v>
      </c>
      <c r="I751">
        <v>2</v>
      </c>
      <c r="J751">
        <v>1</v>
      </c>
      <c r="K751">
        <v>1</v>
      </c>
      <c r="L751">
        <v>1</v>
      </c>
      <c r="M751">
        <v>1</v>
      </c>
      <c r="N751">
        <v>8</v>
      </c>
    </row>
    <row r="752" spans="1:14" x14ac:dyDescent="0.2">
      <c r="A752">
        <v>751</v>
      </c>
      <c r="B752">
        <v>101</v>
      </c>
      <c r="C752">
        <v>2</v>
      </c>
      <c r="D752" t="str">
        <f>HLOOKUP(Dados!C752,'Variáveis e códigos'!$C$4:$F$5,2,FALSE)</f>
        <v>Feminino</v>
      </c>
      <c r="E752">
        <v>9</v>
      </c>
      <c r="F752">
        <v>1</v>
      </c>
      <c r="G752">
        <v>3</v>
      </c>
      <c r="H752">
        <v>1</v>
      </c>
      <c r="I752">
        <v>1</v>
      </c>
      <c r="J752">
        <v>2</v>
      </c>
      <c r="K752">
        <v>0</v>
      </c>
      <c r="L752">
        <v>1</v>
      </c>
      <c r="M752">
        <v>2</v>
      </c>
      <c r="N752">
        <v>10</v>
      </c>
    </row>
    <row r="753" spans="1:14" x14ac:dyDescent="0.2">
      <c r="A753">
        <v>752</v>
      </c>
      <c r="B753">
        <v>101</v>
      </c>
      <c r="C753">
        <v>1</v>
      </c>
      <c r="D753" t="str">
        <f>HLOOKUP(Dados!C753,'Variáveis e códigos'!$C$4:$F$5,2,FALSE)</f>
        <v>Masculino</v>
      </c>
      <c r="E753">
        <v>4</v>
      </c>
      <c r="F753">
        <v>0</v>
      </c>
      <c r="G753">
        <v>1</v>
      </c>
      <c r="H753">
        <v>1</v>
      </c>
      <c r="I753">
        <v>0</v>
      </c>
      <c r="J753">
        <v>2</v>
      </c>
      <c r="K753">
        <v>0</v>
      </c>
      <c r="L753">
        <v>0</v>
      </c>
      <c r="M753">
        <v>1</v>
      </c>
      <c r="N753">
        <v>8</v>
      </c>
    </row>
    <row r="754" spans="1:14" x14ac:dyDescent="0.2">
      <c r="A754">
        <v>753</v>
      </c>
      <c r="B754">
        <v>101</v>
      </c>
      <c r="C754">
        <v>1</v>
      </c>
      <c r="D754" t="str">
        <f>HLOOKUP(Dados!C754,'Variáveis e códigos'!$C$4:$F$5,2,FALSE)</f>
        <v>Masculino</v>
      </c>
      <c r="E754">
        <v>8</v>
      </c>
      <c r="F754">
        <v>1</v>
      </c>
      <c r="G754">
        <v>99</v>
      </c>
      <c r="H754">
        <v>1</v>
      </c>
      <c r="I754">
        <v>2</v>
      </c>
      <c r="J754">
        <v>1</v>
      </c>
      <c r="K754">
        <v>1</v>
      </c>
      <c r="L754">
        <v>0</v>
      </c>
      <c r="M754">
        <v>1</v>
      </c>
      <c r="N754">
        <v>9</v>
      </c>
    </row>
    <row r="755" spans="1:14" x14ac:dyDescent="0.2">
      <c r="A755">
        <v>754</v>
      </c>
      <c r="B755">
        <v>101</v>
      </c>
      <c r="C755">
        <v>2</v>
      </c>
      <c r="D755" t="str">
        <f>HLOOKUP(Dados!C755,'Variáveis e códigos'!$C$4:$F$5,2,FALSE)</f>
        <v>Feminino</v>
      </c>
      <c r="E755">
        <v>3</v>
      </c>
      <c r="F755">
        <v>0</v>
      </c>
      <c r="G755">
        <v>2</v>
      </c>
      <c r="H755">
        <v>0</v>
      </c>
      <c r="I755">
        <v>0</v>
      </c>
      <c r="J755">
        <v>2</v>
      </c>
      <c r="K755">
        <v>0</v>
      </c>
      <c r="L755">
        <v>99</v>
      </c>
      <c r="M755">
        <v>0</v>
      </c>
      <c r="N755">
        <v>9</v>
      </c>
    </row>
    <row r="756" spans="1:14" x14ac:dyDescent="0.2">
      <c r="A756">
        <v>755</v>
      </c>
      <c r="B756">
        <v>101</v>
      </c>
      <c r="C756">
        <v>1</v>
      </c>
      <c r="D756" t="str">
        <f>HLOOKUP(Dados!C756,'Variáveis e códigos'!$C$4:$F$5,2,FALSE)</f>
        <v>Masculino</v>
      </c>
      <c r="E756">
        <v>6</v>
      </c>
      <c r="F756">
        <v>1</v>
      </c>
      <c r="G756">
        <v>2</v>
      </c>
      <c r="H756">
        <v>0</v>
      </c>
      <c r="I756">
        <v>0</v>
      </c>
      <c r="J756">
        <v>0</v>
      </c>
      <c r="K756">
        <v>0</v>
      </c>
      <c r="L756">
        <v>2</v>
      </c>
      <c r="M756">
        <v>0</v>
      </c>
      <c r="N756">
        <v>8</v>
      </c>
    </row>
    <row r="757" spans="1:14" x14ac:dyDescent="0.2">
      <c r="A757">
        <v>756</v>
      </c>
      <c r="B757">
        <v>101</v>
      </c>
      <c r="C757">
        <v>2</v>
      </c>
      <c r="D757" t="str">
        <f>HLOOKUP(Dados!C757,'Variáveis e códigos'!$C$4:$F$5,2,FALSE)</f>
        <v>Feminino</v>
      </c>
      <c r="E757">
        <v>6</v>
      </c>
      <c r="F757">
        <v>1</v>
      </c>
      <c r="G757">
        <v>2</v>
      </c>
      <c r="H757">
        <v>1</v>
      </c>
      <c r="I757">
        <v>0</v>
      </c>
      <c r="J757">
        <v>0</v>
      </c>
      <c r="K757">
        <v>99</v>
      </c>
      <c r="L757">
        <v>0</v>
      </c>
      <c r="M757">
        <v>1</v>
      </c>
      <c r="N757">
        <v>8</v>
      </c>
    </row>
    <row r="758" spans="1:14" x14ac:dyDescent="0.2">
      <c r="A758">
        <v>757</v>
      </c>
      <c r="B758">
        <v>101</v>
      </c>
      <c r="C758">
        <v>2</v>
      </c>
      <c r="D758" t="str">
        <f>HLOOKUP(Dados!C758,'Variáveis e códigos'!$C$4:$F$5,2,FALSE)</f>
        <v>Feminino</v>
      </c>
      <c r="E758">
        <v>6</v>
      </c>
      <c r="F758">
        <v>1</v>
      </c>
      <c r="G758">
        <v>3</v>
      </c>
      <c r="H758">
        <v>0</v>
      </c>
      <c r="I758">
        <v>0</v>
      </c>
      <c r="J758">
        <v>0</v>
      </c>
      <c r="K758">
        <v>0</v>
      </c>
      <c r="L758">
        <v>0</v>
      </c>
      <c r="M758">
        <v>0</v>
      </c>
      <c r="N758">
        <v>10</v>
      </c>
    </row>
    <row r="759" spans="1:14" x14ac:dyDescent="0.2">
      <c r="A759">
        <v>758</v>
      </c>
      <c r="B759">
        <v>101</v>
      </c>
      <c r="C759">
        <v>2</v>
      </c>
      <c r="D759" t="str">
        <f>HLOOKUP(Dados!C759,'Variáveis e códigos'!$C$4:$F$5,2,FALSE)</f>
        <v>Feminino</v>
      </c>
      <c r="E759">
        <v>7</v>
      </c>
      <c r="F759">
        <v>1</v>
      </c>
      <c r="G759">
        <v>3</v>
      </c>
      <c r="H759">
        <v>0</v>
      </c>
      <c r="I759">
        <v>0</v>
      </c>
      <c r="J759">
        <v>2</v>
      </c>
      <c r="K759">
        <v>0</v>
      </c>
      <c r="L759">
        <v>0</v>
      </c>
      <c r="M759">
        <v>0</v>
      </c>
      <c r="N759">
        <v>8</v>
      </c>
    </row>
    <row r="760" spans="1:14" x14ac:dyDescent="0.2">
      <c r="A760">
        <v>759</v>
      </c>
      <c r="B760">
        <v>101</v>
      </c>
      <c r="C760">
        <v>1</v>
      </c>
      <c r="D760" t="str">
        <f>HLOOKUP(Dados!C760,'Variáveis e códigos'!$C$4:$F$5,2,FALSE)</f>
        <v>Masculino</v>
      </c>
      <c r="E760">
        <v>9</v>
      </c>
      <c r="F760">
        <v>1</v>
      </c>
      <c r="G760">
        <v>1</v>
      </c>
      <c r="H760">
        <v>0</v>
      </c>
      <c r="I760">
        <v>0</v>
      </c>
      <c r="J760">
        <v>2</v>
      </c>
      <c r="K760">
        <v>0</v>
      </c>
      <c r="L760">
        <v>0</v>
      </c>
      <c r="M760">
        <v>0</v>
      </c>
      <c r="N760">
        <v>8</v>
      </c>
    </row>
    <row r="761" spans="1:14" x14ac:dyDescent="0.2">
      <c r="A761">
        <v>760</v>
      </c>
      <c r="B761">
        <v>101</v>
      </c>
      <c r="C761">
        <v>2</v>
      </c>
      <c r="D761" t="str">
        <f>HLOOKUP(Dados!C761,'Variáveis e códigos'!$C$4:$F$5,2,FALSE)</f>
        <v>Feminino</v>
      </c>
      <c r="E761">
        <v>8</v>
      </c>
      <c r="F761">
        <v>1</v>
      </c>
      <c r="G761">
        <v>2</v>
      </c>
      <c r="H761">
        <v>0</v>
      </c>
      <c r="I761">
        <v>0</v>
      </c>
      <c r="J761">
        <v>2</v>
      </c>
      <c r="K761">
        <v>0</v>
      </c>
      <c r="L761">
        <v>0</v>
      </c>
      <c r="M761">
        <v>0</v>
      </c>
      <c r="N761">
        <v>10</v>
      </c>
    </row>
    <row r="762" spans="1:14" x14ac:dyDescent="0.2">
      <c r="A762">
        <v>761</v>
      </c>
      <c r="B762">
        <v>101</v>
      </c>
      <c r="C762">
        <v>2</v>
      </c>
      <c r="D762" t="str">
        <f>HLOOKUP(Dados!C762,'Variáveis e códigos'!$C$4:$F$5,2,FALSE)</f>
        <v>Feminino</v>
      </c>
      <c r="E762">
        <v>8</v>
      </c>
      <c r="F762">
        <v>1</v>
      </c>
      <c r="G762">
        <v>1</v>
      </c>
      <c r="H762">
        <v>0</v>
      </c>
      <c r="I762">
        <v>0</v>
      </c>
      <c r="J762">
        <v>2</v>
      </c>
      <c r="K762">
        <v>1</v>
      </c>
      <c r="L762">
        <v>1</v>
      </c>
      <c r="M762">
        <v>1</v>
      </c>
      <c r="N762">
        <v>10</v>
      </c>
    </row>
    <row r="763" spans="1:14" x14ac:dyDescent="0.2">
      <c r="A763">
        <v>762</v>
      </c>
      <c r="B763">
        <v>101</v>
      </c>
      <c r="C763">
        <v>1</v>
      </c>
      <c r="D763" t="str">
        <f>HLOOKUP(Dados!C763,'Variáveis e códigos'!$C$4:$F$5,2,FALSE)</f>
        <v>Masculino</v>
      </c>
      <c r="E763">
        <v>8</v>
      </c>
      <c r="F763">
        <v>1</v>
      </c>
      <c r="G763">
        <v>2</v>
      </c>
      <c r="H763">
        <v>2</v>
      </c>
      <c r="I763">
        <v>1</v>
      </c>
      <c r="J763">
        <v>2</v>
      </c>
      <c r="K763">
        <v>1</v>
      </c>
      <c r="L763">
        <v>1</v>
      </c>
      <c r="M763">
        <v>2</v>
      </c>
      <c r="N763">
        <v>8</v>
      </c>
    </row>
    <row r="764" spans="1:14" x14ac:dyDescent="0.2">
      <c r="A764">
        <v>763</v>
      </c>
      <c r="B764">
        <v>101</v>
      </c>
      <c r="C764">
        <v>2</v>
      </c>
      <c r="D764" t="str">
        <f>HLOOKUP(Dados!C764,'Variáveis e códigos'!$C$4:$F$5,2,FALSE)</f>
        <v>Feminino</v>
      </c>
      <c r="E764">
        <v>9</v>
      </c>
      <c r="F764">
        <v>1</v>
      </c>
      <c r="G764">
        <v>2</v>
      </c>
      <c r="H764">
        <v>2</v>
      </c>
      <c r="I764">
        <v>1</v>
      </c>
      <c r="J764">
        <v>1</v>
      </c>
      <c r="K764">
        <v>0</v>
      </c>
      <c r="L764">
        <v>0</v>
      </c>
      <c r="M764">
        <v>0</v>
      </c>
      <c r="N764">
        <v>8</v>
      </c>
    </row>
    <row r="765" spans="1:14" x14ac:dyDescent="0.2">
      <c r="A765">
        <v>764</v>
      </c>
      <c r="B765">
        <v>101</v>
      </c>
      <c r="C765">
        <v>1</v>
      </c>
      <c r="D765" t="str">
        <f>HLOOKUP(Dados!C765,'Variáveis e códigos'!$C$4:$F$5,2,FALSE)</f>
        <v>Masculino</v>
      </c>
      <c r="E765">
        <v>9</v>
      </c>
      <c r="F765">
        <v>1</v>
      </c>
      <c r="G765">
        <v>2</v>
      </c>
      <c r="H765">
        <v>1</v>
      </c>
      <c r="I765">
        <v>0</v>
      </c>
      <c r="J765">
        <v>2</v>
      </c>
      <c r="K765">
        <v>0</v>
      </c>
      <c r="L765">
        <v>0</v>
      </c>
      <c r="M765">
        <v>2</v>
      </c>
      <c r="N765">
        <v>9</v>
      </c>
    </row>
    <row r="766" spans="1:14" x14ac:dyDescent="0.2">
      <c r="A766">
        <v>765</v>
      </c>
      <c r="B766">
        <v>101</v>
      </c>
      <c r="C766">
        <v>1</v>
      </c>
      <c r="D766" t="str">
        <f>HLOOKUP(Dados!C766,'Variáveis e códigos'!$C$4:$F$5,2,FALSE)</f>
        <v>Masculino</v>
      </c>
      <c r="E766">
        <v>9</v>
      </c>
      <c r="F766">
        <v>1</v>
      </c>
      <c r="G766">
        <v>99</v>
      </c>
      <c r="H766">
        <v>1</v>
      </c>
      <c r="I766">
        <v>0</v>
      </c>
      <c r="J766">
        <v>2</v>
      </c>
      <c r="K766">
        <v>0</v>
      </c>
      <c r="L766">
        <v>0</v>
      </c>
      <c r="M766">
        <v>1</v>
      </c>
      <c r="N766">
        <v>99</v>
      </c>
    </row>
    <row r="767" spans="1:14" x14ac:dyDescent="0.2">
      <c r="A767">
        <v>766</v>
      </c>
      <c r="B767">
        <v>101</v>
      </c>
      <c r="C767">
        <v>1</v>
      </c>
      <c r="D767" t="str">
        <f>HLOOKUP(Dados!C767,'Variáveis e códigos'!$C$4:$F$5,2,FALSE)</f>
        <v>Masculino</v>
      </c>
      <c r="E767">
        <v>8</v>
      </c>
      <c r="F767">
        <v>1</v>
      </c>
      <c r="G767">
        <v>1</v>
      </c>
      <c r="H767">
        <v>0</v>
      </c>
      <c r="I767">
        <v>0</v>
      </c>
      <c r="J767">
        <v>2</v>
      </c>
      <c r="K767">
        <v>0</v>
      </c>
      <c r="L767">
        <v>0</v>
      </c>
      <c r="M767">
        <v>2</v>
      </c>
      <c r="N767">
        <v>8</v>
      </c>
    </row>
    <row r="768" spans="1:14" x14ac:dyDescent="0.2">
      <c r="A768">
        <v>767</v>
      </c>
      <c r="B768">
        <v>101</v>
      </c>
      <c r="C768">
        <v>2</v>
      </c>
      <c r="D768" t="str">
        <f>HLOOKUP(Dados!C768,'Variáveis e códigos'!$C$4:$F$5,2,FALSE)</f>
        <v>Feminino</v>
      </c>
      <c r="E768">
        <v>9</v>
      </c>
      <c r="F768">
        <v>1</v>
      </c>
      <c r="G768">
        <v>2</v>
      </c>
      <c r="H768">
        <v>2</v>
      </c>
      <c r="I768">
        <v>0</v>
      </c>
      <c r="J768">
        <v>1</v>
      </c>
      <c r="K768">
        <v>0</v>
      </c>
      <c r="L768">
        <v>0</v>
      </c>
      <c r="M768">
        <v>0</v>
      </c>
      <c r="N768">
        <v>10</v>
      </c>
    </row>
    <row r="769" spans="1:14" x14ac:dyDescent="0.2">
      <c r="A769">
        <v>768</v>
      </c>
      <c r="B769">
        <v>101</v>
      </c>
      <c r="C769">
        <v>1</v>
      </c>
      <c r="D769" t="str">
        <f>HLOOKUP(Dados!C769,'Variáveis e códigos'!$C$4:$F$5,2,FALSE)</f>
        <v>Masculino</v>
      </c>
      <c r="E769">
        <v>7</v>
      </c>
      <c r="F769">
        <v>1</v>
      </c>
      <c r="G769">
        <v>2</v>
      </c>
      <c r="H769">
        <v>1</v>
      </c>
      <c r="I769">
        <v>0</v>
      </c>
      <c r="J769">
        <v>2</v>
      </c>
      <c r="K769">
        <v>1</v>
      </c>
      <c r="L769">
        <v>1</v>
      </c>
      <c r="M769">
        <v>0</v>
      </c>
      <c r="N769">
        <v>9</v>
      </c>
    </row>
    <row r="770" spans="1:14" x14ac:dyDescent="0.2">
      <c r="A770">
        <v>769</v>
      </c>
      <c r="B770">
        <v>101</v>
      </c>
      <c r="C770">
        <v>2</v>
      </c>
      <c r="D770" t="str">
        <f>HLOOKUP(Dados!C770,'Variáveis e códigos'!$C$4:$F$5,2,FALSE)</f>
        <v>Feminino</v>
      </c>
      <c r="E770">
        <v>8</v>
      </c>
      <c r="F770">
        <v>1</v>
      </c>
      <c r="G770">
        <v>2</v>
      </c>
      <c r="H770">
        <v>0</v>
      </c>
      <c r="I770">
        <v>0</v>
      </c>
      <c r="J770">
        <v>2</v>
      </c>
      <c r="K770">
        <v>0</v>
      </c>
      <c r="L770">
        <v>0</v>
      </c>
      <c r="M770">
        <v>0</v>
      </c>
      <c r="N770">
        <v>8</v>
      </c>
    </row>
    <row r="771" spans="1:14" x14ac:dyDescent="0.2">
      <c r="A771">
        <v>770</v>
      </c>
      <c r="B771">
        <v>101</v>
      </c>
      <c r="C771">
        <v>1</v>
      </c>
      <c r="D771" t="str">
        <f>HLOOKUP(Dados!C771,'Variáveis e códigos'!$C$4:$F$5,2,FALSE)</f>
        <v>Masculino</v>
      </c>
      <c r="E771">
        <v>6</v>
      </c>
      <c r="F771">
        <v>1</v>
      </c>
      <c r="G771">
        <v>3</v>
      </c>
      <c r="H771">
        <v>0</v>
      </c>
      <c r="I771">
        <v>1</v>
      </c>
      <c r="J771">
        <v>0</v>
      </c>
      <c r="K771">
        <v>0</v>
      </c>
      <c r="L771">
        <v>0</v>
      </c>
      <c r="M771">
        <v>1</v>
      </c>
      <c r="N771">
        <v>8</v>
      </c>
    </row>
    <row r="772" spans="1:14" x14ac:dyDescent="0.2">
      <c r="A772">
        <v>771</v>
      </c>
      <c r="B772">
        <v>101</v>
      </c>
      <c r="C772">
        <v>2</v>
      </c>
      <c r="D772" t="str">
        <f>HLOOKUP(Dados!C772,'Variáveis e códigos'!$C$4:$F$5,2,FALSE)</f>
        <v>Feminino</v>
      </c>
      <c r="E772">
        <v>8</v>
      </c>
      <c r="F772">
        <v>1</v>
      </c>
      <c r="G772">
        <v>2</v>
      </c>
      <c r="H772">
        <v>1</v>
      </c>
      <c r="I772">
        <v>0</v>
      </c>
      <c r="J772">
        <v>2</v>
      </c>
      <c r="K772">
        <v>0</v>
      </c>
      <c r="L772">
        <v>0</v>
      </c>
      <c r="M772">
        <v>0</v>
      </c>
      <c r="N772">
        <v>9</v>
      </c>
    </row>
    <row r="773" spans="1:14" x14ac:dyDescent="0.2">
      <c r="A773">
        <v>772</v>
      </c>
      <c r="B773">
        <v>101</v>
      </c>
      <c r="C773">
        <v>1</v>
      </c>
      <c r="D773" t="str">
        <f>HLOOKUP(Dados!C773,'Variáveis e códigos'!$C$4:$F$5,2,FALSE)</f>
        <v>Masculino</v>
      </c>
      <c r="E773">
        <v>9</v>
      </c>
      <c r="F773">
        <v>1</v>
      </c>
      <c r="G773">
        <v>1</v>
      </c>
      <c r="H773">
        <v>2</v>
      </c>
      <c r="I773">
        <v>0</v>
      </c>
      <c r="J773">
        <v>2</v>
      </c>
      <c r="K773">
        <v>1</v>
      </c>
      <c r="L773">
        <v>1</v>
      </c>
      <c r="M773">
        <v>1</v>
      </c>
      <c r="N773">
        <v>9</v>
      </c>
    </row>
    <row r="774" spans="1:14" x14ac:dyDescent="0.2">
      <c r="A774">
        <v>773</v>
      </c>
      <c r="B774">
        <v>101</v>
      </c>
      <c r="C774">
        <v>2</v>
      </c>
      <c r="D774" t="str">
        <f>HLOOKUP(Dados!C774,'Variáveis e códigos'!$C$4:$F$5,2,FALSE)</f>
        <v>Feminino</v>
      </c>
      <c r="E774">
        <v>9</v>
      </c>
      <c r="F774">
        <v>1</v>
      </c>
      <c r="G774">
        <v>1</v>
      </c>
      <c r="H774">
        <v>1</v>
      </c>
      <c r="I774">
        <v>0</v>
      </c>
      <c r="J774">
        <v>2</v>
      </c>
      <c r="K774">
        <v>0</v>
      </c>
      <c r="L774">
        <v>0</v>
      </c>
      <c r="M774">
        <v>0</v>
      </c>
      <c r="N774">
        <v>10</v>
      </c>
    </row>
    <row r="775" spans="1:14" x14ac:dyDescent="0.2">
      <c r="A775">
        <v>774</v>
      </c>
      <c r="B775">
        <v>101</v>
      </c>
      <c r="C775">
        <v>2</v>
      </c>
      <c r="D775" t="str">
        <f>HLOOKUP(Dados!C775,'Variáveis e códigos'!$C$4:$F$5,2,FALSE)</f>
        <v>Feminino</v>
      </c>
      <c r="E775">
        <v>9</v>
      </c>
      <c r="F775">
        <v>1</v>
      </c>
      <c r="G775">
        <v>1</v>
      </c>
      <c r="H775">
        <v>0</v>
      </c>
      <c r="I775">
        <v>0</v>
      </c>
      <c r="J775">
        <v>2</v>
      </c>
      <c r="K775">
        <v>0</v>
      </c>
      <c r="L775">
        <v>0</v>
      </c>
      <c r="M775">
        <v>1</v>
      </c>
      <c r="N775">
        <v>8</v>
      </c>
    </row>
    <row r="776" spans="1:14" x14ac:dyDescent="0.2">
      <c r="A776">
        <v>775</v>
      </c>
      <c r="B776">
        <v>101</v>
      </c>
      <c r="C776">
        <v>1</v>
      </c>
      <c r="D776" t="str">
        <f>HLOOKUP(Dados!C776,'Variáveis e códigos'!$C$4:$F$5,2,FALSE)</f>
        <v>Masculino</v>
      </c>
      <c r="E776">
        <v>7</v>
      </c>
      <c r="F776">
        <v>1</v>
      </c>
      <c r="G776">
        <v>2</v>
      </c>
      <c r="H776">
        <v>1</v>
      </c>
      <c r="I776">
        <v>0</v>
      </c>
      <c r="J776">
        <v>2</v>
      </c>
      <c r="K776">
        <v>1</v>
      </c>
      <c r="L776">
        <v>0</v>
      </c>
      <c r="M776">
        <v>1</v>
      </c>
      <c r="N776">
        <v>8</v>
      </c>
    </row>
    <row r="777" spans="1:14" x14ac:dyDescent="0.2">
      <c r="A777">
        <v>776</v>
      </c>
      <c r="B777">
        <v>101</v>
      </c>
      <c r="C777">
        <v>2</v>
      </c>
      <c r="D777" t="str">
        <f>HLOOKUP(Dados!C777,'Variáveis e códigos'!$C$4:$F$5,2,FALSE)</f>
        <v>Feminino</v>
      </c>
      <c r="E777">
        <v>8</v>
      </c>
      <c r="F777">
        <v>1</v>
      </c>
      <c r="G777">
        <v>99</v>
      </c>
      <c r="H777">
        <v>0</v>
      </c>
      <c r="I777">
        <v>0</v>
      </c>
      <c r="J777">
        <v>2</v>
      </c>
      <c r="K777">
        <v>0</v>
      </c>
      <c r="L777">
        <v>0</v>
      </c>
      <c r="M777">
        <v>0</v>
      </c>
      <c r="N777">
        <v>9</v>
      </c>
    </row>
    <row r="778" spans="1:14" x14ac:dyDescent="0.2">
      <c r="A778">
        <v>777</v>
      </c>
      <c r="B778">
        <v>101</v>
      </c>
      <c r="C778">
        <v>2</v>
      </c>
      <c r="D778" t="str">
        <f>HLOOKUP(Dados!C778,'Variáveis e códigos'!$C$4:$F$5,2,FALSE)</f>
        <v>Feminino</v>
      </c>
      <c r="E778">
        <v>7</v>
      </c>
      <c r="F778">
        <v>1</v>
      </c>
      <c r="G778">
        <v>2</v>
      </c>
      <c r="H778">
        <v>2</v>
      </c>
      <c r="I778">
        <v>2</v>
      </c>
      <c r="J778">
        <v>1</v>
      </c>
      <c r="K778">
        <v>1</v>
      </c>
      <c r="L778">
        <v>1</v>
      </c>
      <c r="M778">
        <v>99</v>
      </c>
      <c r="N778">
        <v>7</v>
      </c>
    </row>
    <row r="779" spans="1:14" x14ac:dyDescent="0.2">
      <c r="A779">
        <v>778</v>
      </c>
      <c r="B779">
        <v>101</v>
      </c>
      <c r="C779">
        <v>2</v>
      </c>
      <c r="D779" t="str">
        <f>HLOOKUP(Dados!C779,'Variáveis e códigos'!$C$4:$F$5,2,FALSE)</f>
        <v>Feminino</v>
      </c>
      <c r="E779">
        <v>9</v>
      </c>
      <c r="F779">
        <v>1</v>
      </c>
      <c r="G779">
        <v>2</v>
      </c>
      <c r="H779">
        <v>2</v>
      </c>
      <c r="I779">
        <v>2</v>
      </c>
      <c r="J779">
        <v>2</v>
      </c>
      <c r="K779">
        <v>1</v>
      </c>
      <c r="L779">
        <v>0</v>
      </c>
      <c r="M779">
        <v>1</v>
      </c>
      <c r="N779">
        <v>9</v>
      </c>
    </row>
    <row r="780" spans="1:14" x14ac:dyDescent="0.2">
      <c r="A780">
        <v>779</v>
      </c>
      <c r="B780">
        <v>101</v>
      </c>
      <c r="C780">
        <v>1</v>
      </c>
      <c r="D780" t="str">
        <f>HLOOKUP(Dados!C780,'Variáveis e códigos'!$C$4:$F$5,2,FALSE)</f>
        <v>Masculino</v>
      </c>
      <c r="E780">
        <v>8</v>
      </c>
      <c r="F780">
        <v>1</v>
      </c>
      <c r="G780">
        <v>2</v>
      </c>
      <c r="H780">
        <v>2</v>
      </c>
      <c r="I780">
        <v>1</v>
      </c>
      <c r="J780">
        <v>1</v>
      </c>
      <c r="K780">
        <v>0</v>
      </c>
      <c r="L780">
        <v>0</v>
      </c>
      <c r="M780">
        <v>0</v>
      </c>
      <c r="N780">
        <v>10</v>
      </c>
    </row>
    <row r="781" spans="1:14" x14ac:dyDescent="0.2">
      <c r="A781">
        <v>780</v>
      </c>
      <c r="B781">
        <v>101</v>
      </c>
      <c r="C781">
        <v>2</v>
      </c>
      <c r="D781" t="str">
        <f>HLOOKUP(Dados!C781,'Variáveis e códigos'!$C$4:$F$5,2,FALSE)</f>
        <v>Feminino</v>
      </c>
      <c r="E781">
        <v>7</v>
      </c>
      <c r="F781">
        <v>1</v>
      </c>
      <c r="G781">
        <v>3</v>
      </c>
      <c r="H781">
        <v>2</v>
      </c>
      <c r="I781">
        <v>1</v>
      </c>
      <c r="J781">
        <v>0</v>
      </c>
      <c r="K781">
        <v>0</v>
      </c>
      <c r="L781">
        <v>0</v>
      </c>
      <c r="M781">
        <v>0</v>
      </c>
      <c r="N781">
        <v>9</v>
      </c>
    </row>
    <row r="782" spans="1:14" x14ac:dyDescent="0.2">
      <c r="A782">
        <v>781</v>
      </c>
      <c r="B782">
        <v>101</v>
      </c>
      <c r="C782">
        <v>1</v>
      </c>
      <c r="D782" t="str">
        <f>HLOOKUP(Dados!C782,'Variáveis e códigos'!$C$4:$F$5,2,FALSE)</f>
        <v>Masculino</v>
      </c>
      <c r="E782">
        <v>9</v>
      </c>
      <c r="F782">
        <v>1</v>
      </c>
      <c r="G782">
        <v>1</v>
      </c>
      <c r="H782">
        <v>2</v>
      </c>
      <c r="I782">
        <v>2</v>
      </c>
      <c r="J782">
        <v>0</v>
      </c>
      <c r="K782">
        <v>1</v>
      </c>
      <c r="L782">
        <v>1</v>
      </c>
      <c r="M782">
        <v>0</v>
      </c>
      <c r="N782">
        <v>8</v>
      </c>
    </row>
    <row r="783" spans="1:14" x14ac:dyDescent="0.2">
      <c r="A783">
        <v>782</v>
      </c>
      <c r="B783">
        <v>101</v>
      </c>
      <c r="C783">
        <v>2</v>
      </c>
      <c r="D783" t="str">
        <f>HLOOKUP(Dados!C783,'Variáveis e códigos'!$C$4:$F$5,2,FALSE)</f>
        <v>Feminino</v>
      </c>
      <c r="E783">
        <v>9</v>
      </c>
      <c r="F783">
        <v>1</v>
      </c>
      <c r="G783">
        <v>99</v>
      </c>
      <c r="H783">
        <v>0</v>
      </c>
      <c r="I783">
        <v>0</v>
      </c>
      <c r="J783">
        <v>2</v>
      </c>
      <c r="K783">
        <v>0</v>
      </c>
      <c r="L783">
        <v>0</v>
      </c>
      <c r="M783">
        <v>0</v>
      </c>
      <c r="N783">
        <v>8</v>
      </c>
    </row>
    <row r="784" spans="1:14" x14ac:dyDescent="0.2">
      <c r="A784">
        <v>783</v>
      </c>
      <c r="B784">
        <v>101</v>
      </c>
      <c r="C784">
        <v>2</v>
      </c>
      <c r="D784" t="str">
        <f>HLOOKUP(Dados!C784,'Variáveis e códigos'!$C$4:$F$5,2,FALSE)</f>
        <v>Feminino</v>
      </c>
      <c r="E784">
        <v>9</v>
      </c>
      <c r="F784">
        <v>1</v>
      </c>
      <c r="G784">
        <v>1</v>
      </c>
      <c r="H784">
        <v>1</v>
      </c>
      <c r="I784">
        <v>0</v>
      </c>
      <c r="J784">
        <v>2</v>
      </c>
      <c r="K784">
        <v>0</v>
      </c>
      <c r="L784">
        <v>0</v>
      </c>
      <c r="M784">
        <v>0</v>
      </c>
      <c r="N784">
        <v>9</v>
      </c>
    </row>
    <row r="785" spans="1:14" x14ac:dyDescent="0.2">
      <c r="A785">
        <v>784</v>
      </c>
      <c r="B785">
        <v>101</v>
      </c>
      <c r="C785">
        <v>1</v>
      </c>
      <c r="D785" t="str">
        <f>HLOOKUP(Dados!C785,'Variáveis e códigos'!$C$4:$F$5,2,FALSE)</f>
        <v>Masculino</v>
      </c>
      <c r="E785">
        <v>10</v>
      </c>
      <c r="F785">
        <v>1</v>
      </c>
      <c r="G785">
        <v>99</v>
      </c>
      <c r="H785">
        <v>0</v>
      </c>
      <c r="I785">
        <v>1</v>
      </c>
      <c r="J785">
        <v>2</v>
      </c>
      <c r="K785">
        <v>1</v>
      </c>
      <c r="L785">
        <v>1</v>
      </c>
      <c r="M785">
        <v>1</v>
      </c>
      <c r="N785">
        <v>7</v>
      </c>
    </row>
    <row r="786" spans="1:14" x14ac:dyDescent="0.2">
      <c r="A786">
        <v>785</v>
      </c>
      <c r="B786">
        <v>101</v>
      </c>
      <c r="C786">
        <v>1</v>
      </c>
      <c r="D786" t="str">
        <f>HLOOKUP(Dados!C786,'Variáveis e códigos'!$C$4:$F$5,2,FALSE)</f>
        <v>Masculino</v>
      </c>
      <c r="E786">
        <v>6</v>
      </c>
      <c r="F786">
        <v>1</v>
      </c>
      <c r="G786">
        <v>2</v>
      </c>
      <c r="H786">
        <v>1</v>
      </c>
      <c r="I786">
        <v>0</v>
      </c>
      <c r="J786">
        <v>2</v>
      </c>
      <c r="K786">
        <v>0</v>
      </c>
      <c r="L786">
        <v>0</v>
      </c>
      <c r="M786">
        <v>1</v>
      </c>
      <c r="N786">
        <v>8</v>
      </c>
    </row>
    <row r="787" spans="1:14" x14ac:dyDescent="0.2">
      <c r="A787">
        <v>786</v>
      </c>
      <c r="B787">
        <v>101</v>
      </c>
      <c r="C787">
        <v>2</v>
      </c>
      <c r="D787" t="str">
        <f>HLOOKUP(Dados!C787,'Variáveis e códigos'!$C$4:$F$5,2,FALSE)</f>
        <v>Feminino</v>
      </c>
      <c r="E787">
        <v>9</v>
      </c>
      <c r="F787">
        <v>1</v>
      </c>
      <c r="G787">
        <v>3</v>
      </c>
      <c r="H787">
        <v>1</v>
      </c>
      <c r="I787">
        <v>0</v>
      </c>
      <c r="J787">
        <v>1</v>
      </c>
      <c r="K787">
        <v>0</v>
      </c>
      <c r="L787">
        <v>0</v>
      </c>
      <c r="M787">
        <v>1</v>
      </c>
      <c r="N787">
        <v>99</v>
      </c>
    </row>
    <row r="788" spans="1:14" x14ac:dyDescent="0.2">
      <c r="A788">
        <v>787</v>
      </c>
      <c r="B788">
        <v>101</v>
      </c>
      <c r="C788">
        <v>1</v>
      </c>
      <c r="D788" t="str">
        <f>HLOOKUP(Dados!C788,'Variáveis e códigos'!$C$4:$F$5,2,FALSE)</f>
        <v>Masculino</v>
      </c>
      <c r="E788">
        <v>10</v>
      </c>
      <c r="F788">
        <v>1</v>
      </c>
      <c r="G788">
        <v>99</v>
      </c>
      <c r="H788">
        <v>0</v>
      </c>
      <c r="I788">
        <v>0</v>
      </c>
      <c r="J788">
        <v>2</v>
      </c>
      <c r="K788">
        <v>0</v>
      </c>
      <c r="L788">
        <v>1</v>
      </c>
      <c r="M788">
        <v>1</v>
      </c>
      <c r="N788">
        <v>8</v>
      </c>
    </row>
    <row r="789" spans="1:14" x14ac:dyDescent="0.2">
      <c r="A789">
        <v>788</v>
      </c>
      <c r="B789">
        <v>101</v>
      </c>
      <c r="C789">
        <v>1</v>
      </c>
      <c r="D789" t="str">
        <f>HLOOKUP(Dados!C789,'Variáveis e códigos'!$C$4:$F$5,2,FALSE)</f>
        <v>Masculino</v>
      </c>
      <c r="E789">
        <v>5</v>
      </c>
      <c r="F789">
        <v>0</v>
      </c>
      <c r="G789">
        <v>2</v>
      </c>
      <c r="H789">
        <v>2</v>
      </c>
      <c r="I789">
        <v>0</v>
      </c>
      <c r="J789">
        <v>0</v>
      </c>
      <c r="K789">
        <v>0</v>
      </c>
      <c r="L789">
        <v>0</v>
      </c>
      <c r="M789">
        <v>0</v>
      </c>
      <c r="N789">
        <v>10</v>
      </c>
    </row>
    <row r="790" spans="1:14" x14ac:dyDescent="0.2">
      <c r="A790">
        <v>789</v>
      </c>
      <c r="B790">
        <v>101</v>
      </c>
      <c r="C790">
        <v>2</v>
      </c>
      <c r="D790" t="str">
        <f>HLOOKUP(Dados!C790,'Variáveis e códigos'!$C$4:$F$5,2,FALSE)</f>
        <v>Feminino</v>
      </c>
      <c r="E790">
        <v>8</v>
      </c>
      <c r="F790">
        <v>1</v>
      </c>
      <c r="G790">
        <v>2</v>
      </c>
      <c r="H790">
        <v>0</v>
      </c>
      <c r="I790">
        <v>0</v>
      </c>
      <c r="J790">
        <v>2</v>
      </c>
      <c r="K790">
        <v>0</v>
      </c>
      <c r="L790">
        <v>0</v>
      </c>
      <c r="M790">
        <v>0</v>
      </c>
      <c r="N790">
        <v>9</v>
      </c>
    </row>
    <row r="791" spans="1:14" x14ac:dyDescent="0.2">
      <c r="A791">
        <v>790</v>
      </c>
      <c r="B791">
        <v>101</v>
      </c>
      <c r="C791">
        <v>1</v>
      </c>
      <c r="D791" t="str">
        <f>HLOOKUP(Dados!C791,'Variáveis e códigos'!$C$4:$F$5,2,FALSE)</f>
        <v>Masculino</v>
      </c>
      <c r="E791">
        <v>6</v>
      </c>
      <c r="F791">
        <v>1</v>
      </c>
      <c r="G791">
        <v>2</v>
      </c>
      <c r="H791">
        <v>2</v>
      </c>
      <c r="I791">
        <v>1</v>
      </c>
      <c r="J791">
        <v>0</v>
      </c>
      <c r="K791">
        <v>1</v>
      </c>
      <c r="L791">
        <v>0</v>
      </c>
      <c r="M791">
        <v>0</v>
      </c>
      <c r="N791">
        <v>99</v>
      </c>
    </row>
    <row r="792" spans="1:14" x14ac:dyDescent="0.2">
      <c r="A792">
        <v>791</v>
      </c>
      <c r="B792">
        <v>101</v>
      </c>
      <c r="C792">
        <v>1</v>
      </c>
      <c r="D792" t="str">
        <f>HLOOKUP(Dados!C792,'Variáveis e códigos'!$C$4:$F$5,2,FALSE)</f>
        <v>Masculino</v>
      </c>
      <c r="E792">
        <v>6</v>
      </c>
      <c r="F792">
        <v>1</v>
      </c>
      <c r="G792">
        <v>3</v>
      </c>
      <c r="H792">
        <v>2</v>
      </c>
      <c r="I792">
        <v>2</v>
      </c>
      <c r="J792">
        <v>1</v>
      </c>
      <c r="K792">
        <v>0</v>
      </c>
      <c r="L792">
        <v>0</v>
      </c>
      <c r="M792">
        <v>1</v>
      </c>
      <c r="N792">
        <v>8</v>
      </c>
    </row>
    <row r="793" spans="1:14" x14ac:dyDescent="0.2">
      <c r="A793">
        <v>792</v>
      </c>
      <c r="B793">
        <v>101</v>
      </c>
      <c r="C793">
        <v>1</v>
      </c>
      <c r="D793" t="str">
        <f>HLOOKUP(Dados!C793,'Variáveis e códigos'!$C$4:$F$5,2,FALSE)</f>
        <v>Masculino</v>
      </c>
      <c r="E793">
        <v>7</v>
      </c>
      <c r="F793">
        <v>1</v>
      </c>
      <c r="G793">
        <v>2</v>
      </c>
      <c r="H793">
        <v>1</v>
      </c>
      <c r="I793">
        <v>1</v>
      </c>
      <c r="J793">
        <v>1</v>
      </c>
      <c r="K793">
        <v>0</v>
      </c>
      <c r="L793">
        <v>1</v>
      </c>
      <c r="M793">
        <v>1</v>
      </c>
      <c r="N793">
        <v>8</v>
      </c>
    </row>
    <row r="794" spans="1:14" x14ac:dyDescent="0.2">
      <c r="A794">
        <v>793</v>
      </c>
      <c r="B794">
        <v>101</v>
      </c>
      <c r="C794">
        <v>1</v>
      </c>
      <c r="D794" t="str">
        <f>HLOOKUP(Dados!C794,'Variáveis e códigos'!$C$4:$F$5,2,FALSE)</f>
        <v>Masculino</v>
      </c>
      <c r="E794">
        <v>8</v>
      </c>
      <c r="F794">
        <v>1</v>
      </c>
      <c r="G794">
        <v>1</v>
      </c>
      <c r="H794">
        <v>0</v>
      </c>
      <c r="I794">
        <v>0</v>
      </c>
      <c r="J794">
        <v>2</v>
      </c>
      <c r="K794">
        <v>0</v>
      </c>
      <c r="L794">
        <v>0</v>
      </c>
      <c r="M794">
        <v>0</v>
      </c>
      <c r="N794">
        <v>8</v>
      </c>
    </row>
    <row r="795" spans="1:14" x14ac:dyDescent="0.2">
      <c r="A795">
        <v>794</v>
      </c>
      <c r="B795">
        <v>101</v>
      </c>
      <c r="C795">
        <v>1</v>
      </c>
      <c r="D795" t="str">
        <f>HLOOKUP(Dados!C795,'Variáveis e códigos'!$C$4:$F$5,2,FALSE)</f>
        <v>Masculino</v>
      </c>
      <c r="E795">
        <v>6</v>
      </c>
      <c r="F795">
        <v>1</v>
      </c>
      <c r="G795">
        <v>1</v>
      </c>
      <c r="H795">
        <v>1</v>
      </c>
      <c r="I795">
        <v>1</v>
      </c>
      <c r="J795">
        <v>1</v>
      </c>
      <c r="K795">
        <v>0</v>
      </c>
      <c r="L795">
        <v>1</v>
      </c>
      <c r="M795">
        <v>0</v>
      </c>
      <c r="N795">
        <v>8</v>
      </c>
    </row>
    <row r="796" spans="1:14" x14ac:dyDescent="0.2">
      <c r="A796">
        <v>795</v>
      </c>
      <c r="B796">
        <v>101</v>
      </c>
      <c r="C796">
        <v>1</v>
      </c>
      <c r="D796" t="str">
        <f>HLOOKUP(Dados!C796,'Variáveis e códigos'!$C$4:$F$5,2,FALSE)</f>
        <v>Masculino</v>
      </c>
      <c r="E796">
        <v>7</v>
      </c>
      <c r="F796">
        <v>1</v>
      </c>
      <c r="G796">
        <v>1</v>
      </c>
      <c r="H796">
        <v>0</v>
      </c>
      <c r="I796">
        <v>0</v>
      </c>
      <c r="J796">
        <v>2</v>
      </c>
      <c r="K796">
        <v>0</v>
      </c>
      <c r="L796">
        <v>0</v>
      </c>
      <c r="M796">
        <v>0</v>
      </c>
      <c r="N796">
        <v>10</v>
      </c>
    </row>
    <row r="797" spans="1:14" x14ac:dyDescent="0.2">
      <c r="A797">
        <v>796</v>
      </c>
      <c r="B797">
        <v>101</v>
      </c>
      <c r="C797">
        <v>2</v>
      </c>
      <c r="D797" t="str">
        <f>HLOOKUP(Dados!C797,'Variáveis e códigos'!$C$4:$F$5,2,FALSE)</f>
        <v>Feminino</v>
      </c>
      <c r="E797">
        <v>6</v>
      </c>
      <c r="F797">
        <v>1</v>
      </c>
      <c r="G797">
        <v>99</v>
      </c>
      <c r="H797">
        <v>0</v>
      </c>
      <c r="I797">
        <v>0</v>
      </c>
      <c r="J797">
        <v>2</v>
      </c>
      <c r="K797">
        <v>0</v>
      </c>
      <c r="L797">
        <v>1</v>
      </c>
      <c r="M797">
        <v>0</v>
      </c>
      <c r="N797">
        <v>8</v>
      </c>
    </row>
    <row r="798" spans="1:14" x14ac:dyDescent="0.2">
      <c r="A798">
        <v>797</v>
      </c>
      <c r="B798">
        <v>101</v>
      </c>
      <c r="C798">
        <v>2</v>
      </c>
      <c r="D798" t="str">
        <f>HLOOKUP(Dados!C798,'Variáveis e códigos'!$C$4:$F$5,2,FALSE)</f>
        <v>Feminino</v>
      </c>
      <c r="E798">
        <v>7</v>
      </c>
      <c r="F798">
        <v>1</v>
      </c>
      <c r="G798">
        <v>3</v>
      </c>
      <c r="H798">
        <v>0</v>
      </c>
      <c r="I798">
        <v>0</v>
      </c>
      <c r="J798">
        <v>2</v>
      </c>
      <c r="K798">
        <v>0</v>
      </c>
      <c r="L798">
        <v>1</v>
      </c>
      <c r="M798">
        <v>1</v>
      </c>
      <c r="N798">
        <v>8</v>
      </c>
    </row>
    <row r="799" spans="1:14" x14ac:dyDescent="0.2">
      <c r="A799">
        <v>798</v>
      </c>
      <c r="B799">
        <v>101</v>
      </c>
      <c r="C799">
        <v>1</v>
      </c>
      <c r="D799" t="str">
        <f>HLOOKUP(Dados!C799,'Variáveis e códigos'!$C$4:$F$5,2,FALSE)</f>
        <v>Masculino</v>
      </c>
      <c r="E799">
        <v>8</v>
      </c>
      <c r="F799">
        <v>1</v>
      </c>
      <c r="G799">
        <v>2</v>
      </c>
      <c r="H799">
        <v>1</v>
      </c>
      <c r="I799">
        <v>0</v>
      </c>
      <c r="J799">
        <v>2</v>
      </c>
      <c r="K799">
        <v>0</v>
      </c>
      <c r="L799">
        <v>0</v>
      </c>
      <c r="M799">
        <v>1</v>
      </c>
      <c r="N799">
        <v>8</v>
      </c>
    </row>
    <row r="800" spans="1:14" x14ac:dyDescent="0.2">
      <c r="A800">
        <v>799</v>
      </c>
      <c r="B800">
        <v>101</v>
      </c>
      <c r="C800">
        <v>1</v>
      </c>
      <c r="D800" t="str">
        <f>HLOOKUP(Dados!C800,'Variáveis e códigos'!$C$4:$F$5,2,FALSE)</f>
        <v>Masculino</v>
      </c>
      <c r="E800">
        <v>9</v>
      </c>
      <c r="F800">
        <v>1</v>
      </c>
      <c r="G800">
        <v>3</v>
      </c>
      <c r="H800">
        <v>1</v>
      </c>
      <c r="I800">
        <v>1</v>
      </c>
      <c r="J800">
        <v>2</v>
      </c>
      <c r="K800">
        <v>0</v>
      </c>
      <c r="L800">
        <v>1</v>
      </c>
      <c r="M800">
        <v>1</v>
      </c>
      <c r="N800">
        <v>9</v>
      </c>
    </row>
    <row r="801" spans="1:16" x14ac:dyDescent="0.2">
      <c r="A801">
        <v>800</v>
      </c>
      <c r="B801">
        <v>101</v>
      </c>
      <c r="C801">
        <v>1</v>
      </c>
      <c r="D801" t="str">
        <f>HLOOKUP(Dados!C801,'Variáveis e códigos'!$C$4:$F$5,2,FALSE)</f>
        <v>Masculino</v>
      </c>
      <c r="E801">
        <v>6</v>
      </c>
      <c r="F801">
        <v>1</v>
      </c>
      <c r="G801">
        <v>99</v>
      </c>
      <c r="H801">
        <v>2</v>
      </c>
      <c r="I801">
        <v>0</v>
      </c>
      <c r="J801">
        <v>1</v>
      </c>
      <c r="K801">
        <v>0</v>
      </c>
      <c r="L801">
        <v>1</v>
      </c>
      <c r="M801">
        <v>1</v>
      </c>
      <c r="N801">
        <v>9</v>
      </c>
    </row>
    <row r="802" spans="1:16" x14ac:dyDescent="0.2">
      <c r="A802">
        <v>801</v>
      </c>
      <c r="B802">
        <v>101</v>
      </c>
      <c r="C802">
        <v>1</v>
      </c>
      <c r="D802" t="str">
        <f>HLOOKUP(Dados!C802,'Variáveis e códigos'!$C$4:$F$5,2,FALSE)</f>
        <v>Masculino</v>
      </c>
      <c r="E802">
        <v>9</v>
      </c>
      <c r="F802">
        <v>1</v>
      </c>
      <c r="G802">
        <v>99</v>
      </c>
      <c r="H802">
        <v>1</v>
      </c>
      <c r="I802">
        <v>2</v>
      </c>
      <c r="J802">
        <v>1</v>
      </c>
      <c r="K802">
        <v>0</v>
      </c>
      <c r="L802">
        <v>0</v>
      </c>
      <c r="M802">
        <v>2</v>
      </c>
      <c r="N802">
        <v>9</v>
      </c>
    </row>
    <row r="803" spans="1:16" x14ac:dyDescent="0.2">
      <c r="A803">
        <v>802</v>
      </c>
      <c r="B803">
        <v>101</v>
      </c>
      <c r="C803">
        <v>2</v>
      </c>
      <c r="D803" t="str">
        <f>HLOOKUP(Dados!C803,'Variáveis e códigos'!$C$4:$F$5,2,FALSE)</f>
        <v>Feminino</v>
      </c>
      <c r="E803">
        <v>9</v>
      </c>
      <c r="F803">
        <v>1</v>
      </c>
      <c r="G803">
        <v>2</v>
      </c>
      <c r="H803">
        <v>0</v>
      </c>
      <c r="I803">
        <v>0</v>
      </c>
      <c r="J803">
        <v>2</v>
      </c>
      <c r="K803">
        <v>0</v>
      </c>
      <c r="L803">
        <v>2</v>
      </c>
      <c r="M803">
        <v>0</v>
      </c>
      <c r="N803">
        <v>10</v>
      </c>
    </row>
    <row r="804" spans="1:16" x14ac:dyDescent="0.2">
      <c r="A804">
        <v>803</v>
      </c>
      <c r="B804">
        <v>101</v>
      </c>
      <c r="C804">
        <v>2</v>
      </c>
      <c r="D804" t="str">
        <f>HLOOKUP(Dados!C804,'Variáveis e códigos'!$C$4:$F$5,2,FALSE)</f>
        <v>Feminino</v>
      </c>
      <c r="E804">
        <v>4</v>
      </c>
      <c r="F804">
        <v>0</v>
      </c>
      <c r="G804">
        <v>3</v>
      </c>
      <c r="H804">
        <v>0</v>
      </c>
      <c r="I804">
        <v>0</v>
      </c>
      <c r="J804">
        <v>2</v>
      </c>
      <c r="K804">
        <v>0</v>
      </c>
      <c r="L804">
        <v>0</v>
      </c>
      <c r="M804">
        <v>0</v>
      </c>
      <c r="N804">
        <v>9</v>
      </c>
    </row>
    <row r="805" spans="1:16" x14ac:dyDescent="0.2">
      <c r="A805">
        <v>804</v>
      </c>
      <c r="B805">
        <v>101</v>
      </c>
      <c r="C805">
        <v>2</v>
      </c>
      <c r="D805" t="str">
        <f>HLOOKUP(Dados!C805,'Variáveis e códigos'!$C$4:$F$5,2,FALSE)</f>
        <v>Feminino</v>
      </c>
      <c r="E805">
        <v>7</v>
      </c>
      <c r="F805">
        <v>1</v>
      </c>
      <c r="G805">
        <v>3</v>
      </c>
      <c r="H805">
        <v>0</v>
      </c>
      <c r="I805">
        <v>0</v>
      </c>
      <c r="J805">
        <v>2</v>
      </c>
      <c r="K805">
        <v>0</v>
      </c>
      <c r="L805">
        <v>0</v>
      </c>
      <c r="M805">
        <v>2</v>
      </c>
      <c r="N805">
        <v>8</v>
      </c>
    </row>
    <row r="806" spans="1:16" x14ac:dyDescent="0.2">
      <c r="A806">
        <v>805</v>
      </c>
      <c r="B806">
        <v>101</v>
      </c>
      <c r="C806">
        <v>2</v>
      </c>
      <c r="D806" t="str">
        <f>HLOOKUP(Dados!C806,'Variáveis e códigos'!$C$4:$F$5,2,FALSE)</f>
        <v>Feminino</v>
      </c>
      <c r="E806">
        <v>9</v>
      </c>
      <c r="F806">
        <v>1</v>
      </c>
      <c r="G806">
        <v>2</v>
      </c>
      <c r="H806">
        <v>0</v>
      </c>
      <c r="I806">
        <v>0</v>
      </c>
      <c r="J806">
        <v>2</v>
      </c>
      <c r="K806">
        <v>0</v>
      </c>
      <c r="L806">
        <v>1</v>
      </c>
      <c r="M806">
        <v>1</v>
      </c>
      <c r="N806">
        <v>9</v>
      </c>
    </row>
    <row r="807" spans="1:16" x14ac:dyDescent="0.2">
      <c r="A807">
        <v>806</v>
      </c>
      <c r="B807">
        <v>101</v>
      </c>
      <c r="C807">
        <v>1</v>
      </c>
      <c r="D807" t="str">
        <f>HLOOKUP(Dados!C807,'Variáveis e códigos'!$C$4:$F$5,2,FALSE)</f>
        <v>Masculino</v>
      </c>
      <c r="E807">
        <v>9</v>
      </c>
      <c r="F807">
        <v>1</v>
      </c>
      <c r="G807">
        <v>1</v>
      </c>
      <c r="H807">
        <v>0</v>
      </c>
      <c r="I807">
        <v>0</v>
      </c>
      <c r="J807">
        <v>2</v>
      </c>
      <c r="K807">
        <v>0</v>
      </c>
      <c r="L807">
        <v>0</v>
      </c>
      <c r="M807">
        <v>0</v>
      </c>
      <c r="N807">
        <v>8</v>
      </c>
    </row>
    <row r="808" spans="1:16" x14ac:dyDescent="0.2">
      <c r="A808">
        <v>807</v>
      </c>
      <c r="B808">
        <v>101</v>
      </c>
      <c r="C808">
        <v>2</v>
      </c>
      <c r="D808" t="str">
        <f>HLOOKUP(Dados!C808,'Variáveis e códigos'!$C$4:$F$5,2,FALSE)</f>
        <v>Feminino</v>
      </c>
      <c r="E808">
        <v>8</v>
      </c>
      <c r="F808">
        <v>1</v>
      </c>
      <c r="G808">
        <v>99</v>
      </c>
      <c r="H808">
        <v>99</v>
      </c>
      <c r="I808">
        <v>99</v>
      </c>
      <c r="J808">
        <v>99</v>
      </c>
      <c r="K808">
        <v>99</v>
      </c>
      <c r="L808">
        <v>99</v>
      </c>
      <c r="M808">
        <v>99</v>
      </c>
      <c r="N808">
        <v>8</v>
      </c>
    </row>
    <row r="809" spans="1:16" x14ac:dyDescent="0.2">
      <c r="A809">
        <v>808</v>
      </c>
      <c r="B809">
        <v>101</v>
      </c>
      <c r="C809">
        <v>1</v>
      </c>
      <c r="D809" t="str">
        <f>HLOOKUP(Dados!C809,'Variáveis e códigos'!$C$4:$F$5,2,FALSE)</f>
        <v>Masculino</v>
      </c>
      <c r="E809">
        <v>10</v>
      </c>
      <c r="F809">
        <v>1</v>
      </c>
      <c r="G809">
        <v>99</v>
      </c>
      <c r="H809">
        <v>0</v>
      </c>
      <c r="I809">
        <v>0</v>
      </c>
      <c r="J809">
        <v>2</v>
      </c>
      <c r="K809">
        <v>0</v>
      </c>
      <c r="L809">
        <v>0</v>
      </c>
      <c r="M809">
        <v>0</v>
      </c>
      <c r="N809">
        <v>10</v>
      </c>
    </row>
    <row r="810" spans="1:16" x14ac:dyDescent="0.2">
      <c r="A810">
        <v>809</v>
      </c>
      <c r="B810">
        <v>101</v>
      </c>
      <c r="C810">
        <v>2</v>
      </c>
      <c r="D810" t="str">
        <f>HLOOKUP(Dados!C810,'Variáveis e códigos'!$C$4:$F$5,2,FALSE)</f>
        <v>Feminino</v>
      </c>
      <c r="E810">
        <v>6</v>
      </c>
      <c r="F810">
        <v>1</v>
      </c>
      <c r="G810">
        <v>2</v>
      </c>
      <c r="H810">
        <v>2</v>
      </c>
      <c r="I810">
        <v>1</v>
      </c>
      <c r="J810">
        <v>1</v>
      </c>
      <c r="K810">
        <v>0</v>
      </c>
      <c r="L810">
        <v>0</v>
      </c>
      <c r="M810">
        <v>0</v>
      </c>
      <c r="N810">
        <v>99</v>
      </c>
    </row>
    <row r="811" spans="1:16" x14ac:dyDescent="0.2">
      <c r="A811">
        <v>810</v>
      </c>
      <c r="B811">
        <v>101</v>
      </c>
      <c r="C811">
        <v>1</v>
      </c>
      <c r="D811" t="str">
        <f>HLOOKUP(Dados!C811,'Variáveis e códigos'!$C$4:$F$5,2,FALSE)</f>
        <v>Masculino</v>
      </c>
      <c r="E811">
        <v>7</v>
      </c>
      <c r="F811">
        <v>1</v>
      </c>
      <c r="G811">
        <v>3</v>
      </c>
      <c r="H811">
        <v>0</v>
      </c>
      <c r="I811">
        <v>0</v>
      </c>
      <c r="J811">
        <v>2</v>
      </c>
      <c r="K811">
        <v>0</v>
      </c>
      <c r="L811">
        <v>0</v>
      </c>
      <c r="M811">
        <v>0</v>
      </c>
      <c r="N811">
        <v>8</v>
      </c>
    </row>
    <row r="812" spans="1:16" x14ac:dyDescent="0.2">
      <c r="A812">
        <v>811</v>
      </c>
      <c r="B812">
        <v>101</v>
      </c>
      <c r="C812">
        <v>2</v>
      </c>
      <c r="D812" t="str">
        <f>HLOOKUP(Dados!C812,'Variáveis e códigos'!$C$4:$F$5,2,FALSE)</f>
        <v>Feminino</v>
      </c>
      <c r="E812">
        <v>8</v>
      </c>
      <c r="F812">
        <v>1</v>
      </c>
      <c r="G812">
        <v>2</v>
      </c>
      <c r="H812">
        <v>1</v>
      </c>
      <c r="I812">
        <v>0</v>
      </c>
      <c r="J812">
        <v>2</v>
      </c>
      <c r="K812">
        <v>0</v>
      </c>
      <c r="L812">
        <v>0</v>
      </c>
      <c r="M812">
        <v>0</v>
      </c>
      <c r="N812">
        <v>10</v>
      </c>
    </row>
    <row r="813" spans="1:16" x14ac:dyDescent="0.2">
      <c r="A813">
        <v>812</v>
      </c>
      <c r="B813">
        <v>101</v>
      </c>
      <c r="C813">
        <v>1</v>
      </c>
      <c r="D813" t="str">
        <f>HLOOKUP(Dados!C813,'Variáveis e códigos'!$C$4:$F$5,2,FALSE)</f>
        <v>Masculino</v>
      </c>
      <c r="E813">
        <v>9</v>
      </c>
      <c r="F813">
        <v>1</v>
      </c>
      <c r="G813">
        <v>2</v>
      </c>
      <c r="H813">
        <v>0</v>
      </c>
      <c r="I813">
        <v>0</v>
      </c>
      <c r="J813">
        <v>2</v>
      </c>
      <c r="K813">
        <v>0</v>
      </c>
      <c r="L813">
        <v>0</v>
      </c>
      <c r="M813">
        <v>0</v>
      </c>
      <c r="N813">
        <v>9</v>
      </c>
    </row>
    <row r="814" spans="1:16" x14ac:dyDescent="0.2">
      <c r="A814">
        <v>813</v>
      </c>
      <c r="B814">
        <v>101</v>
      </c>
      <c r="C814">
        <v>2</v>
      </c>
      <c r="D814" t="str">
        <f>HLOOKUP(Dados!C814,'Variáveis e códigos'!$C$4:$F$5,2,FALSE)</f>
        <v>Feminino</v>
      </c>
      <c r="E814">
        <v>6</v>
      </c>
      <c r="F814">
        <v>1</v>
      </c>
      <c r="G814">
        <v>2</v>
      </c>
      <c r="H814">
        <v>1</v>
      </c>
      <c r="I814">
        <v>0</v>
      </c>
      <c r="J814">
        <v>2</v>
      </c>
      <c r="K814">
        <v>0</v>
      </c>
      <c r="L814">
        <v>0</v>
      </c>
      <c r="M814">
        <v>1</v>
      </c>
      <c r="N814">
        <v>10</v>
      </c>
      <c r="P814" s="24"/>
    </row>
    <row r="815" spans="1:16" x14ac:dyDescent="0.2">
      <c r="A815">
        <v>814</v>
      </c>
      <c r="B815">
        <v>101</v>
      </c>
      <c r="C815">
        <v>1</v>
      </c>
      <c r="D815" t="str">
        <f>HLOOKUP(Dados!C815,'Variáveis e códigos'!$C$4:$F$5,2,FALSE)</f>
        <v>Masculino</v>
      </c>
      <c r="E815">
        <v>8</v>
      </c>
      <c r="F815">
        <v>1</v>
      </c>
      <c r="G815">
        <v>3</v>
      </c>
      <c r="H815">
        <v>0</v>
      </c>
      <c r="I815">
        <v>0</v>
      </c>
      <c r="J815">
        <v>2</v>
      </c>
      <c r="K815">
        <v>0</v>
      </c>
      <c r="L815">
        <v>0</v>
      </c>
      <c r="M815">
        <v>0</v>
      </c>
      <c r="N815">
        <v>9</v>
      </c>
    </row>
    <row r="816" spans="1:16" x14ac:dyDescent="0.2">
      <c r="A816">
        <v>815</v>
      </c>
      <c r="B816">
        <v>101</v>
      </c>
      <c r="C816">
        <v>2</v>
      </c>
      <c r="D816" t="str">
        <f>HLOOKUP(Dados!C816,'Variáveis e códigos'!$C$4:$F$5,2,FALSE)</f>
        <v>Feminino</v>
      </c>
      <c r="E816">
        <v>10</v>
      </c>
      <c r="F816">
        <v>1</v>
      </c>
      <c r="G816">
        <v>99</v>
      </c>
      <c r="H816">
        <v>0</v>
      </c>
      <c r="I816">
        <v>0</v>
      </c>
      <c r="J816">
        <v>2</v>
      </c>
      <c r="K816">
        <v>0</v>
      </c>
      <c r="L816">
        <v>0</v>
      </c>
      <c r="M816">
        <v>1</v>
      </c>
      <c r="N816">
        <v>7</v>
      </c>
    </row>
    <row r="817" spans="1:14" x14ac:dyDescent="0.2">
      <c r="A817">
        <v>816</v>
      </c>
      <c r="B817">
        <v>101</v>
      </c>
      <c r="C817">
        <v>2</v>
      </c>
      <c r="D817" t="str">
        <f>HLOOKUP(Dados!C817,'Variáveis e códigos'!$C$4:$F$5,2,FALSE)</f>
        <v>Feminino</v>
      </c>
      <c r="E817">
        <v>6</v>
      </c>
      <c r="F817">
        <v>1</v>
      </c>
      <c r="G817">
        <v>2</v>
      </c>
      <c r="H817">
        <v>2</v>
      </c>
      <c r="I817">
        <v>1</v>
      </c>
      <c r="J817">
        <v>2</v>
      </c>
      <c r="K817">
        <v>0</v>
      </c>
      <c r="L817">
        <v>0</v>
      </c>
      <c r="M817">
        <v>1</v>
      </c>
      <c r="N817">
        <v>7</v>
      </c>
    </row>
    <row r="818" spans="1:14" x14ac:dyDescent="0.2">
      <c r="A818">
        <v>817</v>
      </c>
      <c r="B818">
        <v>101</v>
      </c>
      <c r="C818">
        <v>1</v>
      </c>
      <c r="D818" t="str">
        <f>HLOOKUP(Dados!C818,'Variáveis e códigos'!$C$4:$F$5,2,FALSE)</f>
        <v>Masculino</v>
      </c>
      <c r="E818">
        <v>7</v>
      </c>
      <c r="F818">
        <v>1</v>
      </c>
      <c r="G818">
        <v>2</v>
      </c>
      <c r="H818">
        <v>1</v>
      </c>
      <c r="I818">
        <v>1</v>
      </c>
      <c r="J818">
        <v>1</v>
      </c>
      <c r="K818">
        <v>0</v>
      </c>
      <c r="L818">
        <v>0</v>
      </c>
      <c r="M818">
        <v>1</v>
      </c>
      <c r="N818">
        <v>9</v>
      </c>
    </row>
    <row r="819" spans="1:14" x14ac:dyDescent="0.2">
      <c r="A819">
        <v>818</v>
      </c>
      <c r="B819">
        <v>101</v>
      </c>
      <c r="C819">
        <v>1</v>
      </c>
      <c r="D819" t="str">
        <f>HLOOKUP(Dados!C819,'Variáveis e códigos'!$C$4:$F$5,2,FALSE)</f>
        <v>Masculino</v>
      </c>
      <c r="E819">
        <v>6</v>
      </c>
      <c r="F819">
        <v>1</v>
      </c>
      <c r="G819">
        <v>2</v>
      </c>
      <c r="H819">
        <v>1</v>
      </c>
      <c r="I819">
        <v>1</v>
      </c>
      <c r="J819">
        <v>2</v>
      </c>
      <c r="K819">
        <v>1</v>
      </c>
      <c r="L819">
        <v>1</v>
      </c>
      <c r="M819">
        <v>1</v>
      </c>
      <c r="N819">
        <v>9</v>
      </c>
    </row>
    <row r="820" spans="1:14" x14ac:dyDescent="0.2">
      <c r="A820">
        <v>819</v>
      </c>
      <c r="B820">
        <v>101</v>
      </c>
      <c r="C820">
        <v>1</v>
      </c>
      <c r="D820" t="str">
        <f>HLOOKUP(Dados!C820,'Variáveis e códigos'!$C$4:$F$5,2,FALSE)</f>
        <v>Masculino</v>
      </c>
      <c r="E820">
        <v>9</v>
      </c>
      <c r="F820">
        <v>1</v>
      </c>
      <c r="G820">
        <v>3</v>
      </c>
      <c r="H820">
        <v>0</v>
      </c>
      <c r="I820">
        <v>0</v>
      </c>
      <c r="J820">
        <v>2</v>
      </c>
      <c r="K820">
        <v>0</v>
      </c>
      <c r="L820">
        <v>0</v>
      </c>
      <c r="M820">
        <v>0</v>
      </c>
      <c r="N820">
        <v>8</v>
      </c>
    </row>
    <row r="821" spans="1:14" x14ac:dyDescent="0.2">
      <c r="A821">
        <v>820</v>
      </c>
      <c r="B821">
        <v>101</v>
      </c>
      <c r="C821">
        <v>2</v>
      </c>
      <c r="D821" t="str">
        <f>HLOOKUP(Dados!C821,'Variáveis e códigos'!$C$4:$F$5,2,FALSE)</f>
        <v>Feminino</v>
      </c>
      <c r="E821">
        <v>6</v>
      </c>
      <c r="F821">
        <v>1</v>
      </c>
      <c r="G821">
        <v>3</v>
      </c>
      <c r="H821">
        <v>1</v>
      </c>
      <c r="I821">
        <v>0</v>
      </c>
      <c r="J821">
        <v>2</v>
      </c>
      <c r="K821">
        <v>0</v>
      </c>
      <c r="L821">
        <v>0</v>
      </c>
      <c r="M821">
        <v>0</v>
      </c>
      <c r="N821">
        <v>8</v>
      </c>
    </row>
    <row r="822" spans="1:14" x14ac:dyDescent="0.2">
      <c r="A822">
        <v>821</v>
      </c>
      <c r="B822">
        <v>101</v>
      </c>
      <c r="C822">
        <v>2</v>
      </c>
      <c r="D822" t="str">
        <f>HLOOKUP(Dados!C822,'Variáveis e códigos'!$C$4:$F$5,2,FALSE)</f>
        <v>Feminino</v>
      </c>
      <c r="E822">
        <v>9</v>
      </c>
      <c r="F822">
        <v>1</v>
      </c>
      <c r="G822">
        <v>3</v>
      </c>
      <c r="H822">
        <v>0</v>
      </c>
      <c r="I822">
        <v>0</v>
      </c>
      <c r="J822">
        <v>2</v>
      </c>
      <c r="K822">
        <v>0</v>
      </c>
      <c r="L822">
        <v>0</v>
      </c>
      <c r="M822">
        <v>0</v>
      </c>
      <c r="N822">
        <v>8</v>
      </c>
    </row>
    <row r="823" spans="1:14" x14ac:dyDescent="0.2">
      <c r="A823">
        <v>822</v>
      </c>
      <c r="B823">
        <v>101</v>
      </c>
      <c r="C823">
        <v>1</v>
      </c>
      <c r="D823" t="str">
        <f>HLOOKUP(Dados!C823,'Variáveis e códigos'!$C$4:$F$5,2,FALSE)</f>
        <v>Masculino</v>
      </c>
      <c r="E823">
        <v>6</v>
      </c>
      <c r="F823">
        <v>1</v>
      </c>
      <c r="G823">
        <v>2</v>
      </c>
      <c r="H823">
        <v>2</v>
      </c>
      <c r="I823">
        <v>2</v>
      </c>
      <c r="J823">
        <v>1</v>
      </c>
      <c r="K823">
        <v>1</v>
      </c>
      <c r="L823">
        <v>0</v>
      </c>
      <c r="M823">
        <v>0</v>
      </c>
      <c r="N823">
        <v>7</v>
      </c>
    </row>
    <row r="824" spans="1:14" x14ac:dyDescent="0.2">
      <c r="A824">
        <v>823</v>
      </c>
      <c r="B824">
        <v>101</v>
      </c>
      <c r="C824">
        <v>2</v>
      </c>
      <c r="D824" t="str">
        <f>HLOOKUP(Dados!C824,'Variáveis e códigos'!$C$4:$F$5,2,FALSE)</f>
        <v>Feminino</v>
      </c>
      <c r="E824">
        <v>6</v>
      </c>
      <c r="F824">
        <v>1</v>
      </c>
      <c r="G824">
        <v>1</v>
      </c>
      <c r="H824">
        <v>0</v>
      </c>
      <c r="I824">
        <v>0</v>
      </c>
      <c r="J824">
        <v>2</v>
      </c>
      <c r="K824">
        <v>0</v>
      </c>
      <c r="L824">
        <v>0</v>
      </c>
      <c r="M824">
        <v>0</v>
      </c>
      <c r="N824">
        <v>8</v>
      </c>
    </row>
    <row r="825" spans="1:14" x14ac:dyDescent="0.2">
      <c r="A825">
        <v>824</v>
      </c>
      <c r="B825">
        <v>101</v>
      </c>
      <c r="C825">
        <v>2</v>
      </c>
      <c r="D825" t="str">
        <f>HLOOKUP(Dados!C825,'Variáveis e códigos'!$C$4:$F$5,2,FALSE)</f>
        <v>Feminino</v>
      </c>
      <c r="E825">
        <v>7</v>
      </c>
      <c r="F825">
        <v>1</v>
      </c>
      <c r="G825">
        <v>2</v>
      </c>
      <c r="H825">
        <v>1</v>
      </c>
      <c r="I825">
        <v>1</v>
      </c>
      <c r="J825">
        <v>0</v>
      </c>
      <c r="K825">
        <v>0</v>
      </c>
      <c r="L825">
        <v>1</v>
      </c>
      <c r="M825">
        <v>1</v>
      </c>
      <c r="N825">
        <v>7</v>
      </c>
    </row>
    <row r="826" spans="1:14" x14ac:dyDescent="0.2">
      <c r="A826">
        <v>825</v>
      </c>
      <c r="B826">
        <v>101</v>
      </c>
      <c r="C826">
        <v>2</v>
      </c>
      <c r="D826" t="str">
        <f>HLOOKUP(Dados!C826,'Variáveis e códigos'!$C$4:$F$5,2,FALSE)</f>
        <v>Feminino</v>
      </c>
      <c r="E826">
        <v>7</v>
      </c>
      <c r="F826">
        <v>1</v>
      </c>
      <c r="G826">
        <v>3</v>
      </c>
      <c r="H826">
        <v>0</v>
      </c>
      <c r="I826">
        <v>0</v>
      </c>
      <c r="J826">
        <v>2</v>
      </c>
      <c r="K826">
        <v>0</v>
      </c>
      <c r="L826">
        <v>0</v>
      </c>
      <c r="M826">
        <v>0</v>
      </c>
      <c r="N826">
        <v>7</v>
      </c>
    </row>
    <row r="827" spans="1:14" x14ac:dyDescent="0.2">
      <c r="A827">
        <v>826</v>
      </c>
      <c r="B827">
        <v>101</v>
      </c>
      <c r="C827">
        <v>1</v>
      </c>
      <c r="D827" t="str">
        <f>HLOOKUP(Dados!C827,'Variáveis e códigos'!$C$4:$F$5,2,FALSE)</f>
        <v>Masculino</v>
      </c>
      <c r="E827">
        <v>9</v>
      </c>
      <c r="F827">
        <v>1</v>
      </c>
      <c r="G827">
        <v>3</v>
      </c>
      <c r="H827">
        <v>1</v>
      </c>
      <c r="I827">
        <v>0</v>
      </c>
      <c r="J827">
        <v>2</v>
      </c>
      <c r="K827">
        <v>0</v>
      </c>
      <c r="L827">
        <v>1</v>
      </c>
      <c r="M827">
        <v>0</v>
      </c>
      <c r="N827">
        <v>7</v>
      </c>
    </row>
    <row r="828" spans="1:14" x14ac:dyDescent="0.2">
      <c r="A828">
        <v>827</v>
      </c>
      <c r="B828">
        <v>101</v>
      </c>
      <c r="C828">
        <v>1</v>
      </c>
      <c r="D828" t="str">
        <f>HLOOKUP(Dados!C828,'Variáveis e códigos'!$C$4:$F$5,2,FALSE)</f>
        <v>Masculino</v>
      </c>
      <c r="E828">
        <v>6</v>
      </c>
      <c r="F828">
        <v>1</v>
      </c>
      <c r="G828">
        <v>1</v>
      </c>
      <c r="H828">
        <v>1</v>
      </c>
      <c r="I828">
        <v>1</v>
      </c>
      <c r="J828">
        <v>2</v>
      </c>
      <c r="K828">
        <v>1</v>
      </c>
      <c r="L828">
        <v>1</v>
      </c>
      <c r="M828">
        <v>1</v>
      </c>
      <c r="N828">
        <v>8</v>
      </c>
    </row>
    <row r="829" spans="1:14" x14ac:dyDescent="0.2">
      <c r="A829">
        <v>828</v>
      </c>
      <c r="B829">
        <v>101</v>
      </c>
      <c r="C829">
        <v>1</v>
      </c>
      <c r="D829" t="str">
        <f>HLOOKUP(Dados!C829,'Variáveis e códigos'!$C$4:$F$5,2,FALSE)</f>
        <v>Masculino</v>
      </c>
      <c r="E829">
        <v>3</v>
      </c>
      <c r="F829">
        <v>0</v>
      </c>
      <c r="G829">
        <v>2</v>
      </c>
      <c r="H829">
        <v>0</v>
      </c>
      <c r="I829">
        <v>0</v>
      </c>
      <c r="J829">
        <v>2</v>
      </c>
      <c r="K829">
        <v>0</v>
      </c>
      <c r="L829">
        <v>0</v>
      </c>
      <c r="M829">
        <v>0</v>
      </c>
      <c r="N829">
        <v>7</v>
      </c>
    </row>
    <row r="830" spans="1:14" x14ac:dyDescent="0.2">
      <c r="A830">
        <v>829</v>
      </c>
      <c r="B830">
        <v>101</v>
      </c>
      <c r="C830">
        <v>1</v>
      </c>
      <c r="D830" t="str">
        <f>HLOOKUP(Dados!C830,'Variáveis e códigos'!$C$4:$F$5,2,FALSE)</f>
        <v>Masculino</v>
      </c>
      <c r="E830">
        <v>9</v>
      </c>
      <c r="F830">
        <v>1</v>
      </c>
      <c r="G830">
        <v>1</v>
      </c>
      <c r="H830">
        <v>1</v>
      </c>
      <c r="I830">
        <v>0</v>
      </c>
      <c r="J830">
        <v>2</v>
      </c>
      <c r="K830">
        <v>1</v>
      </c>
      <c r="L830">
        <v>0</v>
      </c>
      <c r="M830">
        <v>1</v>
      </c>
      <c r="N830">
        <v>7</v>
      </c>
    </row>
    <row r="831" spans="1:14" x14ac:dyDescent="0.2">
      <c r="A831">
        <v>830</v>
      </c>
      <c r="B831">
        <v>101</v>
      </c>
      <c r="C831">
        <v>1</v>
      </c>
      <c r="D831" t="str">
        <f>HLOOKUP(Dados!C831,'Variáveis e códigos'!$C$4:$F$5,2,FALSE)</f>
        <v>Masculino</v>
      </c>
      <c r="E831">
        <v>7</v>
      </c>
      <c r="F831">
        <v>1</v>
      </c>
      <c r="G831">
        <v>2</v>
      </c>
      <c r="H831">
        <v>2</v>
      </c>
      <c r="I831">
        <v>0</v>
      </c>
      <c r="J831">
        <v>2</v>
      </c>
      <c r="K831">
        <v>0</v>
      </c>
      <c r="L831">
        <v>0</v>
      </c>
      <c r="M831">
        <v>0</v>
      </c>
      <c r="N831">
        <v>9</v>
      </c>
    </row>
    <row r="832" spans="1:14" x14ac:dyDescent="0.2">
      <c r="A832">
        <v>831</v>
      </c>
      <c r="B832">
        <v>101</v>
      </c>
      <c r="C832">
        <v>2</v>
      </c>
      <c r="D832" t="str">
        <f>HLOOKUP(Dados!C832,'Variáveis e códigos'!$C$4:$F$5,2,FALSE)</f>
        <v>Feminino</v>
      </c>
      <c r="E832">
        <v>8</v>
      </c>
      <c r="F832">
        <v>1</v>
      </c>
      <c r="G832">
        <v>2</v>
      </c>
      <c r="H832">
        <v>2</v>
      </c>
      <c r="I832">
        <v>0</v>
      </c>
      <c r="J832">
        <v>2</v>
      </c>
      <c r="K832">
        <v>0</v>
      </c>
      <c r="L832">
        <v>1</v>
      </c>
      <c r="M832">
        <v>1</v>
      </c>
      <c r="N832">
        <v>8</v>
      </c>
    </row>
    <row r="833" spans="1:14" x14ac:dyDescent="0.2">
      <c r="A833">
        <v>832</v>
      </c>
      <c r="B833">
        <v>101</v>
      </c>
      <c r="C833">
        <v>1</v>
      </c>
      <c r="D833" t="str">
        <f>HLOOKUP(Dados!C833,'Variáveis e códigos'!$C$4:$F$5,2,FALSE)</f>
        <v>Masculino</v>
      </c>
      <c r="E833">
        <v>8</v>
      </c>
      <c r="F833">
        <v>1</v>
      </c>
      <c r="G833">
        <v>3</v>
      </c>
      <c r="H833">
        <v>0</v>
      </c>
      <c r="I833">
        <v>1</v>
      </c>
      <c r="J833">
        <v>2</v>
      </c>
      <c r="K833">
        <v>0</v>
      </c>
      <c r="L833">
        <v>0</v>
      </c>
      <c r="M833">
        <v>0</v>
      </c>
      <c r="N833">
        <v>7</v>
      </c>
    </row>
    <row r="834" spans="1:14" x14ac:dyDescent="0.2">
      <c r="A834">
        <v>833</v>
      </c>
      <c r="B834">
        <v>101</v>
      </c>
      <c r="C834">
        <v>1</v>
      </c>
      <c r="D834" t="str">
        <f>HLOOKUP(Dados!C834,'Variáveis e códigos'!$C$4:$F$5,2,FALSE)</f>
        <v>Masculino</v>
      </c>
      <c r="E834">
        <v>9</v>
      </c>
      <c r="F834">
        <v>1</v>
      </c>
      <c r="G834">
        <v>1</v>
      </c>
      <c r="H834">
        <v>0</v>
      </c>
      <c r="I834">
        <v>0</v>
      </c>
      <c r="J834">
        <v>2</v>
      </c>
      <c r="K834">
        <v>0</v>
      </c>
      <c r="L834">
        <v>1</v>
      </c>
      <c r="M834">
        <v>1</v>
      </c>
      <c r="N834">
        <v>8</v>
      </c>
    </row>
  </sheetData>
  <autoFilter ref="A1:N834" xr:uid="{00000000-0001-0000-0000-000000000000}"/>
  <sortState xmlns:xlrd2="http://schemas.microsoft.com/office/spreadsheetml/2017/richdata2" ref="A2:N834">
    <sortCondition ref="A2:A834"/>
  </sortState>
  <phoneticPr fontId="2" type="noConversion"/>
  <dataValidations count="2">
    <dataValidation type="whole" allowBlank="1" showInputMessage="1" showErrorMessage="1" errorTitle="!ERRO!" error="APENAS VALORES ENTRE 1-20" sqref="N1:N1048576" xr:uid="{7987A575-15FB-EA44-B7FA-A2E7B873A7A0}">
      <formula1>1</formula1>
      <formula2>20</formula2>
    </dataValidation>
    <dataValidation type="whole" allowBlank="1" showInputMessage="1" showErrorMessage="1" errorTitle="!ERRO!" error="APENAS VALORES DE 0-2" sqref="H1:H1048576" xr:uid="{1FD76800-D4D9-0041-9B61-2C3EDB7D58F9}">
      <formula1>0</formula1>
      <formula2>2</formula2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D6C8BE-730F-4C4C-B025-199B45DDB920}">
  <dimension ref="A1:F18"/>
  <sheetViews>
    <sheetView showGridLines="0" zoomScale="150" workbookViewId="0">
      <selection activeCell="B15" sqref="B15"/>
    </sheetView>
  </sheetViews>
  <sheetFormatPr baseColWidth="10" defaultColWidth="8.83203125" defaultRowHeight="15" x14ac:dyDescent="0.2"/>
  <cols>
    <col min="1" max="1" width="15.5" customWidth="1"/>
    <col min="2" max="2" width="72.33203125" customWidth="1"/>
    <col min="3" max="3" width="15" customWidth="1"/>
    <col min="4" max="4" width="21.33203125" customWidth="1"/>
    <col min="5" max="5" width="9.33203125" customWidth="1"/>
    <col min="6" max="6" width="19.33203125" bestFit="1" customWidth="1"/>
    <col min="7" max="9" width="5.83203125" customWidth="1"/>
  </cols>
  <sheetData>
    <row r="1" spans="1:6" x14ac:dyDescent="0.2">
      <c r="A1" s="1" t="s">
        <v>13</v>
      </c>
      <c r="B1" s="1" t="s">
        <v>14</v>
      </c>
      <c r="C1" s="2" t="s">
        <v>15</v>
      </c>
      <c r="D1" s="3"/>
      <c r="E1" s="3"/>
      <c r="F1" s="4"/>
    </row>
    <row r="2" spans="1:6" x14ac:dyDescent="0.2">
      <c r="A2" s="5" t="s">
        <v>0</v>
      </c>
      <c r="B2" s="6" t="s">
        <v>16</v>
      </c>
    </row>
    <row r="3" spans="1:6" x14ac:dyDescent="0.2">
      <c r="A3" s="13" t="s">
        <v>1</v>
      </c>
      <c r="B3" s="14" t="s">
        <v>17</v>
      </c>
      <c r="C3" s="9">
        <v>101</v>
      </c>
      <c r="D3" s="13" t="s">
        <v>18</v>
      </c>
    </row>
    <row r="4" spans="1:6" x14ac:dyDescent="0.2">
      <c r="A4" s="7" t="s">
        <v>2</v>
      </c>
      <c r="B4" s="15" t="s">
        <v>19</v>
      </c>
      <c r="C4" s="9">
        <v>1</v>
      </c>
      <c r="D4" s="8">
        <v>2</v>
      </c>
      <c r="E4" s="8">
        <v>3</v>
      </c>
      <c r="F4" s="15">
        <v>4</v>
      </c>
    </row>
    <row r="5" spans="1:6" x14ac:dyDescent="0.2">
      <c r="A5" s="10"/>
      <c r="B5" s="16"/>
      <c r="C5" s="17" t="s">
        <v>20</v>
      </c>
      <c r="D5" s="14" t="s">
        <v>21</v>
      </c>
      <c r="E5" s="14" t="s">
        <v>22</v>
      </c>
      <c r="F5" s="18" t="s">
        <v>23</v>
      </c>
    </row>
    <row r="6" spans="1:6" x14ac:dyDescent="0.2">
      <c r="A6" s="13" t="s">
        <v>3</v>
      </c>
      <c r="B6" s="18" t="s">
        <v>24</v>
      </c>
    </row>
    <row r="7" spans="1:6" x14ac:dyDescent="0.2">
      <c r="A7" s="7" t="s">
        <v>4</v>
      </c>
      <c r="B7" s="15" t="s">
        <v>25</v>
      </c>
      <c r="C7" s="9">
        <v>0</v>
      </c>
      <c r="D7" s="7" t="s">
        <v>27</v>
      </c>
    </row>
    <row r="8" spans="1:6" x14ac:dyDescent="0.2">
      <c r="A8" s="10"/>
      <c r="B8" s="16"/>
      <c r="C8" s="12">
        <v>1</v>
      </c>
      <c r="D8" s="10" t="s">
        <v>28</v>
      </c>
    </row>
    <row r="9" spans="1:6" x14ac:dyDescent="0.2">
      <c r="A9" s="7" t="s">
        <v>5</v>
      </c>
      <c r="B9" s="9" t="s">
        <v>30</v>
      </c>
      <c r="C9" s="7">
        <v>1</v>
      </c>
      <c r="D9" s="7" t="s">
        <v>37</v>
      </c>
    </row>
    <row r="10" spans="1:6" x14ac:dyDescent="0.2">
      <c r="A10" s="20"/>
      <c r="B10" s="19"/>
      <c r="C10" s="20">
        <v>2</v>
      </c>
      <c r="D10" s="20" t="s">
        <v>26</v>
      </c>
    </row>
    <row r="11" spans="1:6" x14ac:dyDescent="0.2">
      <c r="A11" s="10"/>
      <c r="B11" s="12"/>
      <c r="C11" s="20">
        <v>3</v>
      </c>
      <c r="D11" s="10" t="s">
        <v>38</v>
      </c>
    </row>
    <row r="12" spans="1:6" x14ac:dyDescent="0.2">
      <c r="A12" s="7" t="s">
        <v>6</v>
      </c>
      <c r="B12" t="s">
        <v>31</v>
      </c>
      <c r="C12" s="7"/>
      <c r="D12" s="9"/>
      <c r="E12" s="8"/>
      <c r="F12" s="15"/>
    </row>
    <row r="13" spans="1:6" x14ac:dyDescent="0.2">
      <c r="A13" s="20" t="s">
        <v>7</v>
      </c>
      <c r="B13" t="s">
        <v>32</v>
      </c>
      <c r="C13" s="20">
        <v>0</v>
      </c>
      <c r="D13" s="19" t="s">
        <v>39</v>
      </c>
      <c r="F13" s="21"/>
    </row>
    <row r="14" spans="1:6" x14ac:dyDescent="0.2">
      <c r="A14" s="20" t="s">
        <v>8</v>
      </c>
      <c r="B14" t="s">
        <v>33</v>
      </c>
      <c r="C14" s="20">
        <v>1</v>
      </c>
      <c r="D14" s="19" t="s">
        <v>40</v>
      </c>
      <c r="F14" s="21"/>
    </row>
    <row r="15" spans="1:6" x14ac:dyDescent="0.2">
      <c r="A15" s="20" t="s">
        <v>9</v>
      </c>
      <c r="B15" t="s">
        <v>34</v>
      </c>
      <c r="C15" s="20">
        <v>2</v>
      </c>
      <c r="D15" s="19" t="s">
        <v>41</v>
      </c>
      <c r="F15" s="21"/>
    </row>
    <row r="16" spans="1:6" x14ac:dyDescent="0.2">
      <c r="A16" s="20" t="s">
        <v>10</v>
      </c>
      <c r="B16" t="s">
        <v>35</v>
      </c>
      <c r="C16" s="20"/>
      <c r="D16" s="19"/>
      <c r="F16" s="21"/>
    </row>
    <row r="17" spans="1:6" x14ac:dyDescent="0.2">
      <c r="A17" s="10" t="s">
        <v>11</v>
      </c>
      <c r="B17" t="s">
        <v>36</v>
      </c>
      <c r="C17" s="10"/>
      <c r="D17" s="12"/>
      <c r="E17" s="11"/>
      <c r="F17" s="16"/>
    </row>
    <row r="18" spans="1:6" x14ac:dyDescent="0.2">
      <c r="A18" s="13" t="s">
        <v>12</v>
      </c>
      <c r="B18" s="14" t="s">
        <v>29</v>
      </c>
      <c r="C18" s="14"/>
      <c r="D18" s="14"/>
      <c r="E18" s="14"/>
      <c r="F18" s="18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BF64B5-F6BE-2543-BCDF-B74B4F4EABC1}">
  <dimension ref="A3:M9"/>
  <sheetViews>
    <sheetView tabSelected="1" zoomScale="115" zoomScaleNormal="85" workbookViewId="0">
      <selection activeCell="M14" sqref="M14"/>
    </sheetView>
  </sheetViews>
  <sheetFormatPr baseColWidth="10" defaultRowHeight="15" x14ac:dyDescent="0.2"/>
  <cols>
    <col min="1" max="1" width="9.6640625" bestFit="1" customWidth="1"/>
    <col min="2" max="2" width="21.33203125" bestFit="1" customWidth="1"/>
    <col min="3" max="3" width="7" bestFit="1" customWidth="1"/>
    <col min="4" max="4" width="21.33203125" bestFit="1" customWidth="1"/>
    <col min="5" max="5" width="7" bestFit="1" customWidth="1"/>
    <col min="6" max="6" width="21.33203125" bestFit="1" customWidth="1"/>
    <col min="7" max="7" width="7" bestFit="1" customWidth="1"/>
    <col min="8" max="8" width="21.33203125" bestFit="1" customWidth="1"/>
    <col min="9" max="9" width="7" bestFit="1" customWidth="1"/>
    <col min="10" max="10" width="21.33203125" bestFit="1" customWidth="1"/>
    <col min="11" max="11" width="7" bestFit="1" customWidth="1"/>
    <col min="12" max="12" width="25.83203125" bestFit="1" customWidth="1"/>
    <col min="13" max="13" width="7" bestFit="1" customWidth="1"/>
    <col min="14" max="14" width="3.1640625" bestFit="1" customWidth="1"/>
    <col min="15" max="15" width="6" bestFit="1" customWidth="1"/>
    <col min="16" max="16" width="8" bestFit="1" customWidth="1"/>
    <col min="17" max="17" width="6.33203125" bestFit="1" customWidth="1"/>
    <col min="18" max="19" width="8" bestFit="1" customWidth="1"/>
    <col min="20" max="22" width="23.33203125" bestFit="1" customWidth="1"/>
    <col min="23" max="100" width="3.1640625" bestFit="1" customWidth="1"/>
    <col min="101" max="834" width="4.1640625" bestFit="1" customWidth="1"/>
    <col min="835" max="835" width="9.5" bestFit="1" customWidth="1"/>
  </cols>
  <sheetData>
    <row r="3" spans="1:13" x14ac:dyDescent="0.2">
      <c r="B3" s="23" t="s">
        <v>53</v>
      </c>
    </row>
    <row r="4" spans="1:13" x14ac:dyDescent="0.2">
      <c r="B4">
        <v>7</v>
      </c>
      <c r="D4">
        <v>8</v>
      </c>
      <c r="F4">
        <v>9</v>
      </c>
      <c r="H4">
        <v>10</v>
      </c>
      <c r="J4">
        <v>12</v>
      </c>
      <c r="L4" t="s">
        <v>56</v>
      </c>
      <c r="M4" t="s">
        <v>58</v>
      </c>
    </row>
    <row r="5" spans="1:13" x14ac:dyDescent="0.2">
      <c r="A5" s="23" t="s">
        <v>6</v>
      </c>
      <c r="B5" t="s">
        <v>57</v>
      </c>
      <c r="C5" t="s">
        <v>59</v>
      </c>
      <c r="D5" t="s">
        <v>57</v>
      </c>
      <c r="E5" t="s">
        <v>59</v>
      </c>
      <c r="F5" t="s">
        <v>57</v>
      </c>
      <c r="G5" t="s">
        <v>59</v>
      </c>
      <c r="H5" t="s">
        <v>57</v>
      </c>
      <c r="I5" t="s">
        <v>59</v>
      </c>
      <c r="J5" t="s">
        <v>57</v>
      </c>
      <c r="K5" t="s">
        <v>59</v>
      </c>
    </row>
    <row r="6" spans="1:13" x14ac:dyDescent="0.2">
      <c r="A6" s="6">
        <v>0</v>
      </c>
      <c r="B6" s="25">
        <v>40</v>
      </c>
      <c r="C6" s="26">
        <v>0.43956043956043955</v>
      </c>
      <c r="D6" s="25">
        <v>160</v>
      </c>
      <c r="E6" s="26">
        <v>0.49689440993788819</v>
      </c>
      <c r="F6" s="25">
        <v>93</v>
      </c>
      <c r="G6" s="26">
        <v>0.40611353711790393</v>
      </c>
      <c r="H6" s="25">
        <v>67</v>
      </c>
      <c r="I6" s="26">
        <v>0.45578231292517007</v>
      </c>
      <c r="J6" s="25">
        <v>3</v>
      </c>
      <c r="K6" s="26">
        <v>0.5</v>
      </c>
      <c r="L6" s="25">
        <v>363</v>
      </c>
      <c r="M6" s="26">
        <v>0.45525234741784038</v>
      </c>
    </row>
    <row r="7" spans="1:13" x14ac:dyDescent="0.2">
      <c r="A7" s="6">
        <v>1</v>
      </c>
      <c r="B7" s="25">
        <v>25</v>
      </c>
      <c r="C7" s="26">
        <v>0.27472527472527475</v>
      </c>
      <c r="D7" s="25">
        <v>98</v>
      </c>
      <c r="E7" s="26">
        <v>0.30434782608695654</v>
      </c>
      <c r="F7" s="25">
        <v>69</v>
      </c>
      <c r="G7" s="26">
        <v>0.30131004366812225</v>
      </c>
      <c r="H7" s="25">
        <v>43</v>
      </c>
      <c r="I7" s="26">
        <v>0.29251700680272108</v>
      </c>
      <c r="J7" s="25">
        <v>2</v>
      </c>
      <c r="K7" s="26">
        <v>0.33333333333333331</v>
      </c>
      <c r="L7" s="25">
        <v>237</v>
      </c>
      <c r="M7" s="26">
        <v>0.2984154929577465</v>
      </c>
    </row>
    <row r="8" spans="1:13" x14ac:dyDescent="0.2">
      <c r="A8" s="6">
        <v>2</v>
      </c>
      <c r="B8" s="25">
        <v>26</v>
      </c>
      <c r="C8" s="26">
        <v>0.2857142857142857</v>
      </c>
      <c r="D8" s="25">
        <v>64</v>
      </c>
      <c r="E8" s="26">
        <v>0.19875776397515527</v>
      </c>
      <c r="F8" s="25">
        <v>67</v>
      </c>
      <c r="G8" s="26">
        <v>0.29257641921397382</v>
      </c>
      <c r="H8" s="25">
        <v>37</v>
      </c>
      <c r="I8" s="26">
        <v>0.25170068027210885</v>
      </c>
      <c r="J8" s="25">
        <v>1</v>
      </c>
      <c r="K8" s="26">
        <v>0.16666666666666666</v>
      </c>
      <c r="L8" s="25">
        <v>195</v>
      </c>
      <c r="M8" s="26">
        <v>0.24633215962441316</v>
      </c>
    </row>
    <row r="9" spans="1:13" x14ac:dyDescent="0.2">
      <c r="A9" s="6" t="s">
        <v>51</v>
      </c>
      <c r="B9" s="25">
        <v>91</v>
      </c>
      <c r="C9" s="26">
        <v>1</v>
      </c>
      <c r="D9" s="25">
        <v>322</v>
      </c>
      <c r="E9" s="26">
        <v>1</v>
      </c>
      <c r="F9" s="25">
        <v>229</v>
      </c>
      <c r="G9" s="26">
        <v>1</v>
      </c>
      <c r="H9" s="25">
        <v>147</v>
      </c>
      <c r="I9" s="26">
        <v>1</v>
      </c>
      <c r="J9" s="25">
        <v>6</v>
      </c>
      <c r="K9" s="26">
        <v>1</v>
      </c>
      <c r="L9" s="25">
        <v>795</v>
      </c>
      <c r="M9" s="26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B7BD44-AC9B-BF49-A5E6-BE13F6F01349}">
  <dimension ref="A3:C13"/>
  <sheetViews>
    <sheetView zoomScale="179" workbookViewId="0">
      <selection activeCell="H9" sqref="H9"/>
    </sheetView>
  </sheetViews>
  <sheetFormatPr baseColWidth="10" defaultRowHeight="15" x14ac:dyDescent="0.2"/>
  <cols>
    <col min="1" max="1" width="9.5" bestFit="1" customWidth="1"/>
    <col min="2" max="2" width="11.33203125" bestFit="1" customWidth="1"/>
    <col min="3" max="3" width="12" bestFit="1" customWidth="1"/>
    <col min="4" max="4" width="3.1640625" bestFit="1" customWidth="1"/>
    <col min="5" max="8" width="4.1640625" bestFit="1" customWidth="1"/>
    <col min="9" max="10" width="3.1640625" bestFit="1" customWidth="1"/>
    <col min="11" max="11" width="10.33203125" bestFit="1" customWidth="1"/>
    <col min="12" max="12" width="9.5" bestFit="1" customWidth="1"/>
  </cols>
  <sheetData>
    <row r="3" spans="1:3" x14ac:dyDescent="0.2">
      <c r="A3" s="23" t="s">
        <v>52</v>
      </c>
      <c r="B3" t="s">
        <v>54</v>
      </c>
      <c r="C3" t="s">
        <v>55</v>
      </c>
    </row>
    <row r="4" spans="1:3" x14ac:dyDescent="0.2">
      <c r="A4" s="6">
        <v>3</v>
      </c>
      <c r="B4">
        <v>12</v>
      </c>
      <c r="C4" s="22">
        <v>5.7434588385449903E-3</v>
      </c>
    </row>
    <row r="5" spans="1:3" x14ac:dyDescent="0.2">
      <c r="A5" s="6">
        <v>4</v>
      </c>
      <c r="B5">
        <v>16</v>
      </c>
      <c r="C5" s="22">
        <v>1.021059349074665E-2</v>
      </c>
    </row>
    <row r="6" spans="1:3" x14ac:dyDescent="0.2">
      <c r="A6" s="6">
        <v>5</v>
      </c>
      <c r="B6">
        <v>26</v>
      </c>
      <c r="C6" s="22">
        <v>2.0740268028079132E-2</v>
      </c>
    </row>
    <row r="7" spans="1:3" x14ac:dyDescent="0.2">
      <c r="A7" s="6">
        <v>6</v>
      </c>
      <c r="B7">
        <v>157</v>
      </c>
      <c r="C7" s="22">
        <v>0.15028717294192726</v>
      </c>
    </row>
    <row r="8" spans="1:3" x14ac:dyDescent="0.2">
      <c r="A8" s="6">
        <v>7</v>
      </c>
      <c r="B8">
        <v>181</v>
      </c>
      <c r="C8" s="22">
        <v>0.20213784301212509</v>
      </c>
    </row>
    <row r="9" spans="1:3" x14ac:dyDescent="0.2">
      <c r="A9" s="6">
        <v>8</v>
      </c>
      <c r="B9">
        <v>186</v>
      </c>
      <c r="C9" s="22">
        <v>0.23739629865985962</v>
      </c>
    </row>
    <row r="10" spans="1:3" x14ac:dyDescent="0.2">
      <c r="A10" s="6">
        <v>9</v>
      </c>
      <c r="B10">
        <v>210</v>
      </c>
      <c r="C10" s="22">
        <v>0.30153158902361199</v>
      </c>
    </row>
    <row r="11" spans="1:3" x14ac:dyDescent="0.2">
      <c r="A11" s="6">
        <v>10</v>
      </c>
      <c r="B11">
        <v>44</v>
      </c>
      <c r="C11" s="22">
        <v>7.0197830248883222E-2</v>
      </c>
    </row>
    <row r="12" spans="1:3" x14ac:dyDescent="0.2">
      <c r="A12" s="6">
        <v>11</v>
      </c>
      <c r="B12">
        <v>1</v>
      </c>
      <c r="C12" s="22">
        <v>1.7549457562220803E-3</v>
      </c>
    </row>
    <row r="13" spans="1:3" x14ac:dyDescent="0.2">
      <c r="A13" s="6" t="s">
        <v>51</v>
      </c>
      <c r="B13">
        <v>833</v>
      </c>
      <c r="C13" s="22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A4DFC-ACB8-0A42-AEA0-3E8E1C9B85E8}">
  <dimension ref="G11:J15"/>
  <sheetViews>
    <sheetView topLeftCell="E1" zoomScale="150" workbookViewId="0">
      <selection activeCell="E7" sqref="E7"/>
    </sheetView>
  </sheetViews>
  <sheetFormatPr baseColWidth="10" defaultRowHeight="15" x14ac:dyDescent="0.2"/>
  <cols>
    <col min="5" max="5" width="22" customWidth="1"/>
    <col min="6" max="6" width="16.1640625" customWidth="1"/>
    <col min="7" max="7" width="16.6640625" customWidth="1"/>
    <col min="8" max="8" width="21.83203125" customWidth="1"/>
    <col min="9" max="9" width="15" customWidth="1"/>
    <col min="10" max="10" width="14.6640625" customWidth="1"/>
  </cols>
  <sheetData>
    <row r="11" spans="7:10" x14ac:dyDescent="0.2">
      <c r="G11" s="22"/>
      <c r="H11" t="s">
        <v>44</v>
      </c>
      <c r="I11" t="s">
        <v>49</v>
      </c>
      <c r="J11" s="22" t="s">
        <v>50</v>
      </c>
    </row>
    <row r="12" spans="7:10" x14ac:dyDescent="0.2">
      <c r="G12" s="22"/>
      <c r="H12" t="s">
        <v>45</v>
      </c>
      <c r="I12">
        <f>COUNTIF(Dados!G:G,1)</f>
        <v>244</v>
      </c>
      <c r="J12" s="22">
        <f>I12/I15</f>
        <v>0.3214756258234519</v>
      </c>
    </row>
    <row r="13" spans="7:10" x14ac:dyDescent="0.2">
      <c r="G13" s="22"/>
      <c r="H13" t="s">
        <v>47</v>
      </c>
      <c r="I13">
        <f>COUNTIF(Dados!G:G,2)</f>
        <v>325</v>
      </c>
      <c r="J13" s="22">
        <f>I13/I15</f>
        <v>0.42819499341238471</v>
      </c>
    </row>
    <row r="14" spans="7:10" x14ac:dyDescent="0.2">
      <c r="G14" s="22"/>
      <c r="H14" t="s">
        <v>48</v>
      </c>
      <c r="I14">
        <f>COUNTIF(Dados!G:G,3)</f>
        <v>190</v>
      </c>
      <c r="J14" s="22">
        <f>I14/I15</f>
        <v>0.25032938076416339</v>
      </c>
    </row>
    <row r="15" spans="7:10" x14ac:dyDescent="0.2">
      <c r="H15" t="s">
        <v>46</v>
      </c>
      <c r="I15">
        <f>SUM(I12:I14)</f>
        <v>759</v>
      </c>
      <c r="J15" s="22">
        <f>SUM(J12:J14)</f>
        <v>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Folhas de Cálculo</vt:lpstr>
      </vt:variant>
      <vt:variant>
        <vt:i4>5</vt:i4>
      </vt:variant>
    </vt:vector>
  </HeadingPairs>
  <TitlesOfParts>
    <vt:vector size="5" baseType="lpstr">
      <vt:lpstr>Dados</vt:lpstr>
      <vt:lpstr>Variáveis e códigos</vt:lpstr>
      <vt:lpstr>tabela cruzamento dinamica</vt:lpstr>
      <vt:lpstr>tabela dinamica</vt:lpstr>
      <vt:lpstr>tabela freq abs</vt:lpstr>
    </vt:vector>
  </TitlesOfParts>
  <Company>IBM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IBM SPSS Export Facility</dc:creator>
  <cp:lastModifiedBy>João Lourenço</cp:lastModifiedBy>
  <dcterms:created xsi:type="dcterms:W3CDTF">2011-08-01T14:22:18Z</dcterms:created>
  <dcterms:modified xsi:type="dcterms:W3CDTF">2025-03-30T15:16:11Z</dcterms:modified>
</cp:coreProperties>
</file>